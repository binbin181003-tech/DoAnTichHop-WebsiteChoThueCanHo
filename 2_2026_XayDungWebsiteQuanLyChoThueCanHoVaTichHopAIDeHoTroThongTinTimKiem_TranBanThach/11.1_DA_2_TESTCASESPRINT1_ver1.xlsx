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Tong quan" sheetId="1" r:id="rId1"/>
    <sheet name="Test cases" sheetId="2" r:id="rId2"/>
    <sheet name="Du lieu" sheetId="3" r:id="rId3"/>
    <sheet name="Loi" sheetId="4" r:id="rId4"/>
    <sheet name="Nhat ky" sheetId="5" r:id="rId5"/>
  </sheets>
  <definedNames>
    <definedName name="Z_907202BF_8271_4A4D_891A_FA99C5D28A7E_.wvu.FilterData" localSheetId="4" hidden="1">'Nhat ky'!$A$5:$K$30</definedName>
    <definedName name="Z_5E9FC269_2785_4EBC_ADF3_02474E9CBB7D_.wvu.FilterData" localSheetId="2" hidden="1">'Du lieu'!$A$5:$D$14</definedName>
    <definedName name="Z_56905E82_296A_4A9A_95F7_9A9F4ADE6D1C_.wvu.FilterData" localSheetId="1" hidden="1">'Test cases'!$A$5:$Q$43</definedName>
    <definedName name="Z_949BE98B_432A_4595_9FAF_B1777F4CACCE_.wvu.FilterData" localSheetId="3" hidden="1">Loi!$A$5:$O$25</definedName>
  </definedNames>
  <calcPr calcId="191029"/>
  <customWorkbookViews>
    <customWorkbookView name="RunsS1 filter view" guid="{907202BF-8271-4A4D-891A-FA99C5D28A7E}" maximized="1" windowWidth="0" windowHeight="0" activeSheetId="0"/>
    <customWorkbookView name="DataS1 filter view" guid="{5E9FC269-2785-4EBC-ADF3-02474E9CBB7D}" maximized="1" windowWidth="0" windowHeight="0" activeSheetId="0"/>
    <customWorkbookView name="CasesS1 filter view" guid="{56905E82-296A-4A9A-95F7-9A9F4ADE6D1C}" maximized="1" windowWidth="0" windowHeight="0" activeSheetId="0"/>
    <customWorkbookView name="BugsS1 filter view" guid="{949BE98B-432A-4595-9FAF-B1777F4CACCE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<sst xmlns="http://schemas.openxmlformats.org/spreadsheetml/2006/main" count="542" uniqueCount="321">
  <si>
    <t>Test Cases Sprint 1</t>
  </si>
  <si>
    <t>Người thực hiện</t>
  </si>
  <si>
    <t>Hoàng Đại Hợp</t>
  </si>
  <si>
    <t>Môi trường</t>
  </si>
  <si>
    <t>Localhost</t>
  </si>
  <si>
    <t>Theo dõi lần chạy hiện tại</t>
  </si>
  <si>
    <t>Số ca</t>
  </si>
  <si>
    <t>Ưu tiên</t>
  </si>
  <si>
    <t>Ý nghĩa</t>
  </si>
  <si>
    <t>Cách sử dụng</t>
  </si>
  <si>
    <t>Tổng ca</t>
  </si>
  <si>
    <t>P1</t>
  </si>
  <si>
    <t>Quan trọng</t>
  </si>
  <si>
    <t>Chạy đầu tiên; cần 100% ca P1 trong phạm vi Pass.</t>
  </si>
  <si>
    <t>Not Run</t>
  </si>
  <si>
    <t>P2</t>
  </si>
  <si>
    <t>Thông thường</t>
  </si>
  <si>
    <t>Chạy đủ để bao phủ dữ liệu hợp lệ, lỗi và biên.</t>
  </si>
  <si>
    <t>Pass</t>
  </si>
  <si>
    <t>Ô vàng</t>
  </si>
  <si>
    <t>Hợp điền khi chạy</t>
  </si>
  <si>
    <t>Chưa chạy = Not Run. Không ghi Pass dựa trên chức năng đã làm xong.</t>
  </si>
  <si>
    <t>Fail</t>
  </si>
  <si>
    <t>Blocked</t>
  </si>
  <si>
    <t>N/A</t>
  </si>
  <si>
    <t>Hướng dẫn chạy: xem dưới bảng Du lieu.</t>
  </si>
  <si>
    <t>Trong phạm vi</t>
  </si>
  <si>
    <t>Tỷ lệ đạt trong phạm vi</t>
  </si>
  <si>
    <t>Ca P1 trong phạm vi</t>
  </si>
  <si>
    <t>Ca P1 đã Pass</t>
  </si>
  <si>
    <t>Độ bao phủ phạm vi Test Plan</t>
  </si>
  <si>
    <t>S1-F01 CSDL</t>
  </si>
  <si>
    <t>S1-TC001 đến S1-TC010</t>
  </si>
  <si>
    <t>S1-F02 Backend/API</t>
  </si>
  <si>
    <t>S1-TC011 đến S1-TC021</t>
  </si>
  <si>
    <t>S1-F03 Frontend</t>
  </si>
  <si>
    <t>S1-TC022 đến S1-TC030</t>
  </si>
  <si>
    <t>S1-F04 Tích hợp</t>
  </si>
  <si>
    <t>S1-TC031 đến S1-TC038</t>
  </si>
  <si>
    <t>SmartLease AI – Test Cases Sprint 1</t>
  </si>
  <si>
    <t>Hoàng Đại Hợp thực hiện. Ghi lần chạy hiện tại tại K:Q; lưu từng lần chạy vào Nhat ky.</t>
  </si>
  <si>
    <t>Mã ca</t>
  </si>
  <si>
    <t>Phạm vi</t>
  </si>
  <si>
    <t>Ca mẫu Test Plan</t>
  </si>
  <si>
    <t>Tên ca kiểm thử</t>
  </si>
  <si>
    <t>Điều kiện trước</t>
  </si>
  <si>
    <t>Dữ liệu thử</t>
  </si>
  <si>
    <t>Các bước thực hiện</t>
  </si>
  <si>
    <t>Kết quả mong đợi</t>
  </si>
  <si>
    <t>Dọn dẹp/khôi phục</t>
  </si>
  <si>
    <t>Trạng thái</t>
  </si>
  <si>
    <t>Kết quả thực tế</t>
  </si>
  <si>
    <t>Ngày chạy</t>
  </si>
  <si>
    <t>Build/commit</t>
  </si>
  <si>
    <t>Bằng chứng</t>
  </si>
  <si>
    <t>Mã lỗi</t>
  </si>
  <si>
    <t>Ghi chú/điểm cần chốt</t>
  </si>
  <si>
    <t>S1-TC001</t>
  </si>
  <si>
    <t>S1-TC02</t>
  </si>
  <si>
    <t>Tạo CSDL từ script</t>
  </si>
  <si>
    <t>Có script và thiết kế CSDL đúng phiên bản; MySQL chạy; chỉ thao tác CSDL thử mới.</t>
  </si>
  <si>
    <t>CSDL TEST_smartlease_s1 trống; script dự án đã rà soát.</t>
  </si>
  <si>
    <t>1. Chọn CSDL thử
2. Chạy script theo hướng dẫn dự án
3. Xem lỗi và danh sách bảng</t>
  </si>
  <si>
    <t>Script hoàn tất; đủ bảng theo thiết kế; không tác động CSDL gốc.</t>
  </si>
  <si>
    <t>Giữ dữ liệu thử để đối chiếu; dọn sau khi lưu bằng chứng.</t>
  </si>
  <si>
    <t>S1-TC002</t>
  </si>
  <si>
    <t>Đối chiếu cột và kiểu dữ liệu</t>
  </si>
  <si>
    <t>Thiết kế bảng và script cùng phiên bản.</t>
  </si>
  <si>
    <t>1. Mở cấu trúc từng bảng
2. So sánh tên cột, kiểu, độ dài, null/default
3. Ghi sai khác</t>
  </si>
  <si>
    <t>Tất cả định nghĩa khớp thiết kế đã chốt; lưu danh sách bảng/cột đã đối chiếu.</t>
  </si>
  <si>
    <t>S1-TC003</t>
  </si>
  <si>
    <t>Khóa chính không trùng</t>
  </si>
  <si>
    <t>Một bản ghi thử có PK đã tồn tại.</t>
  </si>
  <si>
    <t>1. Ghi PK hiện có
2. Thử thêm bản ghi cùng PK bằng công cụ DB
3. Đọc lại bản ghi gốc</t>
  </si>
  <si>
    <t>Từ chối PK trùng; dữ liệu gốc không bị ghi đè.</t>
  </si>
  <si>
    <t>Rollback giao dịch thử.</t>
  </si>
  <si>
    <t>S1-TC004</t>
  </si>
  <si>
    <t>Khóa ngoại hợp lệ</t>
  </si>
  <si>
    <t>Bản ghi cha thử và bản ghi con tham chiếu cha.</t>
  </si>
  <si>
    <t>1. Tạo bản ghi cha
2. Thêm con trỏ tới PK cha
3. JOIN hai bảng</t>
  </si>
  <si>
    <t>Lưu thành công; con liên kết đúng cha.</t>
  </si>
  <si>
    <t>S1-TC005</t>
  </si>
  <si>
    <t>Khóa ngoại không tồn tại</t>
  </si>
  <si>
    <t>Giá trị FK không có trong bảng cha; dùng quan hệ đã thiết kế.</t>
  </si>
  <si>
    <t>1. Ghi số bản ghi con
2. Thử thêm con có FK sai
3. Kiểm tra dữ liệu</t>
  </si>
  <si>
    <t>Từ chối quan hệ sai theo ràng buộc; không tạo bản ghi mồ côi.</t>
  </si>
  <si>
    <t>S1-TC006</t>
  </si>
  <si>
    <t>Trường bắt buộc thiếu</t>
  </si>
  <si>
    <t>NULL ở một cột NOT NULL không có default.</t>
  </si>
  <si>
    <t>1. Chọn cột theo thiết kế
2. Thêm bản ghi với NULL
3. Đọc lỗi và số bản ghi</t>
  </si>
  <si>
    <t>CSDL từ chối; không lưu bản ghi thiếu trường bắt buộc.</t>
  </si>
  <si>
    <t>S1-TC007</t>
  </si>
  <si>
    <t>Sai kiểu dữ liệu</t>
  </si>
  <si>
    <t>Chuỗi abc cho một trường số nghiêm ngặt đã chốt.</t>
  </si>
  <si>
    <t>1. Xác nhận SQL mode và quy tắc kiểu
2. Gửi bản ghi sai kiểu
3. Đọc lỗi và dữ liệu</t>
  </si>
  <si>
    <t>Hành vi khớp thiết kế/SQL mode đã chốt; không âm thầm lưu giá trị sai nghiệp vụ.</t>
  </si>
  <si>
    <t>Chưa chốt quy tắc kiểu/SQL mode thì Blocked.</t>
  </si>
  <si>
    <t>S1-TC008</t>
  </si>
  <si>
    <t>Dữ liệu tiếng Việt</t>
  </si>
  <si>
    <t>TEST_Căn hộ ở Đà Nẵng; mô tả có dấu.</t>
  </si>
  <si>
    <t>1. Lưu bản ghi hợp lệ có tiếng Việt
2. Đóng và mở lại phiên DB
3. Đọc nội dung</t>
  </si>
  <si>
    <t>Tiếng Việt được lưu và đọc nguyên vẹn, không lỗi mã hóa.</t>
  </si>
  <si>
    <t>S1-TC009</t>
  </si>
  <si>
    <t>Dữ liệu mẫu đầy đủ</t>
  </si>
  <si>
    <t>Bộ seed chính thức cho CSDL thử.</t>
  </si>
  <si>
    <t>1. Chạy seed đúng hướng dẫn
2. Kiểm tra trường bắt buộc
3. JOIN các quan hệ seed</t>
  </si>
  <si>
    <t>Không thiếu trường bắt buộc; không có liên kết mồ côi; số lượng theo seed.</t>
  </si>
  <si>
    <t>S1-TC010</t>
  </si>
  <si>
    <t>Quy tắc xóa bản ghi cha</t>
  </si>
  <si>
    <t>Cha và con thử; quy tắc RESTRICT/CASCADE đã được xác nhận.</t>
  </si>
  <si>
    <t>1. Ghi dữ liệu trước xóa
2. Xóa cha trong giao dịch thử
3. Đối chiếu dữ liệu con với quy tắc thiết kế</t>
  </si>
  <si>
    <t>Chặn xóa hoặc xử lý con đúng quy tắc đã chốt; không mất dữ liệu ngoài tập thử.</t>
  </si>
  <si>
    <t>S1-TC011</t>
  </si>
  <si>
    <t>S1-TC01</t>
  </si>
  <si>
    <t>Khởi động backend</t>
  </si>
  <si>
    <t>Có cấu hình thử hợp lệ; Bin hỗ trợ khi cần đổi cấu hình.</t>
  </si>
  <si>
    <t>MySQL chạy; lệnh npm run dev hoặc npm start theo package.</t>
  </si>
  <si>
    <t>1. Mở terminal backend
2. Khởi động
3. Ghi cổng thực tế và log kết nối
4. Gọi API đọc đã chọn</t>
  </si>
  <si>
    <t>Server khởi động, kết nối đúng CSDL thử, API trả dữ liệu.</t>
  </si>
  <si>
    <t>S1-TC012</t>
  </si>
  <si>
    <t>Sai cấu hình kết nối DB</t>
  </si>
  <si>
    <t>Bản sao cấu hình thử có tên DB không tồn tại.</t>
  </si>
  <si>
    <t>1. Lưu cấu hình cũ
2. Đổi tên DB thử thành giá trị sai
3. Khởi động backend
4. Quan sát log/API</t>
  </si>
  <si>
    <t>Có lỗi có kiểm soát; không trả dữ liệu giả hoặc lộ mật khẩu DB.</t>
  </si>
  <si>
    <t>Khôi phục cấu hình và khởi động lại.</t>
  </si>
  <si>
    <t>S1-TC013</t>
  </si>
  <si>
    <t>DB ngừng phục vụ</t>
  </si>
  <si>
    <t>Dịch vụ MySQL của môi trường thử.</t>
  </si>
  <si>
    <t>1. Dừng MySQL thử
2. Gọi API đọc
3. Bật lại MySQL
4. Gọi lại API</t>
  </si>
  <si>
    <t>Lỗi được xử lý rõ; sau khôi phục kết nối/API hoạt động; không mất dữ liệu.</t>
  </si>
  <si>
    <t>Bật lại MySQL và chạy smoke.</t>
  </si>
  <si>
    <t>S1-TC014</t>
  </si>
  <si>
    <t>S1-TC03</t>
  </si>
  <si>
    <t>API đọc dữ liệu thành công</t>
  </si>
  <si>
    <t>Backend và CSDL thử chạy; ghi endpoint/method thật ở Du lieu; biết contract response.</t>
  </si>
  <si>
    <t>Một bản ghi seed có ID và giá trị đã biết.</t>
  </si>
  <si>
    <t>1. Gọi API đọc thật
2. Ghi HTTP status và JSON
3. So sánh các trường với DB</t>
  </si>
  <si>
    <t>Mã thành công theo contract; đúng kiểu/cấu trúc/trường và giá trị của bản ghi.</t>
  </si>
  <si>
    <t>S1-TC015</t>
  </si>
  <si>
    <t>API danh sách rỗng</t>
  </si>
  <si>
    <t>Tập dữ liệu thử không có bản ghi phù hợp.</t>
  </si>
  <si>
    <t>1. Gọi API với điều kiện không khớp
2. Xem response
3. Gọi lại API khác hợp lệ</t>
  </si>
  <si>
    <t>Trả cấu trúc rỗng đúng contract; không lỗi 500 hoặc dữ liệu cũ.</t>
  </si>
  <si>
    <t>S1-TC016</t>
  </si>
  <si>
    <t>API chi tiết không tồn tại</t>
  </si>
  <si>
    <t>ID đúng định dạng nhưng không có trong DB.</t>
  </si>
  <si>
    <t>1. Gọi API chi tiết với ID không tồn tại
2. Đọc status/body</t>
  </si>
  <si>
    <t>Trả trạng thái không tìm thấy theo contract; không trả nhầm bản ghi.</t>
  </si>
  <si>
    <t>S1-TC017</t>
  </si>
  <si>
    <t>S1-TC04</t>
  </si>
  <si>
    <t>Tham số sai kiểu</t>
  </si>
  <si>
    <t>Backend chạy; biết kiểu tham số và mã lỗi đã chốt.</t>
  </si>
  <si>
    <t>abc thay cho tham số số của API mẫu.</t>
  </si>
  <si>
    <t>1. Gửi request có tham số abc
2. Đọc lỗi
3. Gọi request hợp lệ</t>
  </si>
  <si>
    <t>Từ chối đầu vào theo contract; server tiếp tục phục vụ.</t>
  </si>
  <si>
    <t>S1-TC018</t>
  </si>
  <si>
    <t>Thiếu tham số bắt buộc</t>
  </si>
  <si>
    <t>Bỏ một tham số bắt buộc của API mẫu.</t>
  </si>
  <si>
    <t>1. Gửi request thiếu tham số
2. Đọc status và thông báo</t>
  </si>
  <si>
    <t>Báo thiếu trường có kiểm soát; không tự tạo dữ liệu sai.</t>
  </si>
  <si>
    <t>S1-TC019</t>
  </si>
  <si>
    <t>JSON không hợp lệ</t>
  </si>
  <si>
    <t>Body JSON thiếu dấu đóng; API nhận JSON của bản nền tảng.</t>
  </si>
  <si>
    <t>1. Gửi JSON lỗi cú pháp
2. Xem status/body
3. Gửi request hợp lệ</t>
  </si>
  <si>
    <t>Từ chối body lỗi; không crash; request hợp lệ sau đó vẫn hoạt động.</t>
  </si>
  <si>
    <t>S1-TC020</t>
  </si>
  <si>
    <t>Đường dẫn API không tồn tại</t>
  </si>
  <si>
    <t>Một đường dẫn không tồn tại dưới base URL backend thử.</t>
  </si>
  <si>
    <t>1. Gọi đường dẫn sai
2. Đọc phản hồi
3. Gọi API đúng</t>
  </si>
  <si>
    <t>Trả lỗi không tìm thấy có kiểm soát; API đúng vẫn hoạt động.</t>
  </si>
  <si>
    <t>S1-TC021</t>
  </si>
  <si>
    <t>Không lộ cấu hình trong lỗi</t>
  </si>
  <si>
    <t>Request gây lỗi đầu vào có kiểm soát.</t>
  </si>
  <si>
    <t>1. Gửi request sai
2. Xem response từ trình duyệt
3. Kiểm tra nội dung lỗi</t>
  </si>
  <si>
    <t>Response không chứa mật khẩu DB, khóa API hoặc stack chi tiết nhạy cảm.</t>
  </si>
  <si>
    <t>S1-TC022</t>
  </si>
  <si>
    <t>S1-TC08</t>
  </si>
  <si>
    <t>Trang chính mở được</t>
  </si>
  <si>
    <t>Frontend chạy; danh sách màn hình/thành phần nền tảng được ghi ở Du lieu.</t>
  </si>
  <si>
    <t>URL frontend in trong terminal.</t>
  </si>
  <si>
    <t>1. Mở URL
2. Chờ kết thúc tải
3. Xem Console</t>
  </si>
  <si>
    <t>Trang chính hiển thị; không có lỗi JavaScript chặn sử dụng.</t>
  </si>
  <si>
    <t>S1-TC023</t>
  </si>
  <si>
    <t>Menu đến đúng màn hình</t>
  </si>
  <si>
    <t>Danh sách link/menu nền tảng đã triển khai.</t>
  </si>
  <si>
    <t>1. Mở từng menu đã ghi
2. Đối chiếu URL và tiêu đề
3. Quay lại trang chính</t>
  </si>
  <si>
    <t>Từng menu đến đúng màn hình theo thiết kế; không có link chết.</t>
  </si>
  <si>
    <t>Không thay đổi dữ liệu.</t>
  </si>
  <si>
    <t>Ghi từng menu trong bằng chứng; thất bại một menu thì ca Fail.</t>
  </si>
  <si>
    <t>S1-TC024</t>
  </si>
  <si>
    <t>Back và Forward của trình duyệt</t>
  </si>
  <si>
    <t>Hai màn hình nền tảng khác nhau.</t>
  </si>
  <si>
    <t>1. Đi từ trang chính sang màn hình dữ liệu
2. Bấm Back
3. Bấm Forward</t>
  </si>
  <si>
    <t>Lịch sử điều hướng đúng; nội dung tải lại tương ứng; không trắng trang.</t>
  </si>
  <si>
    <t>S1-TC025</t>
  </si>
  <si>
    <t>Mở trực tiếp URL con</t>
  </si>
  <si>
    <t>URL một màn hình frontend đã triển khai.</t>
  </si>
  <si>
    <t>1. Sao chép URL con
2. Mở tab mới bằng URL
3. Refresh</t>
  </si>
  <si>
    <t>Trang con tải đúng; không lỗi 404 do định tuyến frontend.</t>
  </si>
  <si>
    <t>S1-TC026</t>
  </si>
  <si>
    <t>Modal dùng chung</t>
  </si>
  <si>
    <t>Một modal hiện có trong bản nền tảng.</t>
  </si>
  <si>
    <t>1. Mở modal
2. Đóng bằng nút đóng
3. Mở lại
4. Dùng thao tác đóng được thiết kế</t>
  </si>
  <si>
    <t>Modal mở/đóng đúng thiết kế; không phủ màn hình sau khi đóng; dữ liệu không gửi ngoài ý muốn.</t>
  </si>
  <si>
    <t>S1-TC027</t>
  </si>
  <si>
    <t>Form nền tảng bắt buộc</t>
  </si>
  <si>
    <t>Form hiện có; danh sách trường bắt buộc đã chốt.</t>
  </si>
  <si>
    <t>1. Mở form
2. Bỏ trống trường bắt buộc
3. Bấm gửi</t>
  </si>
  <si>
    <t>Hiển thị lỗi trường tương ứng; không gửi/lưu dữ liệu không hợp lệ.</t>
  </si>
  <si>
    <t>S1-TC028</t>
  </si>
  <si>
    <t>Bố cục desktop</t>
  </si>
  <si>
    <t>Viewport 1366 × 768.</t>
  </si>
  <si>
    <t>1. Mở trang chính và màn hình dữ liệu
2. Cuộn trang
3. Thao tác menu/nút</t>
  </si>
  <si>
    <t>Chữ, nút và nội dung không che nhau; chức năng nền tảng thao tác được.</t>
  </si>
  <si>
    <t>S1-TC029</t>
  </si>
  <si>
    <t>S1-TC07</t>
  </si>
  <si>
    <t>Bố cục điện thoại</t>
  </si>
  <si>
    <t>Frontend chạy; DevTools có mô phỏng kích thước màn hình.</t>
  </si>
  <si>
    <t>Viewport 390 × 844.</t>
  </si>
  <si>
    <t>1. Đặt viewport
2. Mở trang chính và màn hình dữ liệu
3. Mở menu/form
4. Cuộn và thao tác nút</t>
  </si>
  <si>
    <t>Không tràn ngang cản dùng; nút không bị che; nội dung/form đọc và thao tác được.</t>
  </si>
  <si>
    <t>S1-TC030</t>
  </si>
  <si>
    <t>Hiển thị trên Edge</t>
  </si>
  <si>
    <t>Phiên bản Edge thực tế được ghi.</t>
  </si>
  <si>
    <t>1. Mở trang chính
2. Điều hướng
3. Mở thành phần chung</t>
  </si>
  <si>
    <t>Luồng nền tảng dùng được trên Edge; không lỗi chặn so với Chrome.</t>
  </si>
  <si>
    <t>S1-TC031</t>
  </si>
  <si>
    <t>S1-TC05</t>
  </si>
  <si>
    <t>UI lấy dữ liệu thực từ API</t>
  </si>
  <si>
    <t>Có một bản ghi DB thử; frontend và backend đúng môi trường.</t>
  </si>
  <si>
    <t>ID thử và các giá trị đối chiếu.</t>
  </si>
  <si>
    <t>1. Mở màn hình dữ liệu
2. F12 Network xem request
3. So sánh UI với JSON và DB</t>
  </si>
  <si>
    <t>UI, API và DB nhất quán; frontend gọi đúng backend thử.</t>
  </si>
  <si>
    <t>S1-TC032</t>
  </si>
  <si>
    <t>Tải lại không mất dữ liệu</t>
  </si>
  <si>
    <t>Bản ghi thử đã lưu bền.</t>
  </si>
  <si>
    <t>1. Mở dữ liệu
2. Refresh
3. Mở cùng URL ở tab mới</t>
  </si>
  <si>
    <t>Dữ liệu vẫn đúng; không chỉ tồn tại ở state của UI.</t>
  </si>
  <si>
    <t>S1-TC033</t>
  </si>
  <si>
    <t>UI khi danh sách rỗng</t>
  </si>
  <si>
    <t>Bộ dữ liệu/điều kiện không có kết quả.</t>
  </si>
  <si>
    <t>1. Mở màn hình với tập rỗng
2. Chờ request kết thúc</t>
  </si>
  <si>
    <t>Có trạng thái không có dữ liệu; không hiển thị nhầm lỗi mạng hoặc spinner vô hạn.</t>
  </si>
  <si>
    <t>S1-TC034</t>
  </si>
  <si>
    <t>UI khi request chậm</t>
  </si>
  <si>
    <t>Throttling Slow 3G trong DevTools.</t>
  </si>
  <si>
    <t>1. Bật throttling
2. Tải màn hình
3. Quan sát lúc chờ và sau response</t>
  </si>
  <si>
    <t>Có trạng thái tải theo thiết kế; dữ liệu hiển thị khi hoàn tất; không chồng nhiều lớp tải.</t>
  </si>
  <si>
    <t>Tắt throttling.</t>
  </si>
  <si>
    <t>S1-TC035</t>
  </si>
  <si>
    <t>S1-TC06</t>
  </si>
  <si>
    <t>UI khi backend dừng</t>
  </si>
  <si>
    <t>CSDL và frontend thử chạy; có thể dừng/khởi động backend thử.</t>
  </si>
  <si>
    <t>Backend thử bị dừng.</t>
  </si>
  <si>
    <t>1. Dừng backend
2. Tải màn hình dữ liệu
3. Quan sát thông báo và Console</t>
  </si>
  <si>
    <t>Thông báo lỗi/kết nối rõ; không trắng trang, không giả vờ có dữ liệu thành công.</t>
  </si>
  <si>
    <t>Bật lại backend.</t>
  </si>
  <si>
    <t>S1-TC036</t>
  </si>
  <si>
    <t>Kết nối phục hồi</t>
  </si>
  <si>
    <t>Màn hình đang có lỗi do backend dừng.</t>
  </si>
  <si>
    <t>1. Bật lại backend
2. Bấm thử lại nếu có hoặc Refresh
3. Đối chiếu dữ liệu</t>
  </si>
  <si>
    <t>Dữ liệu tải lại đúng; không cần xóa DB hoặc sửa dữ liệu thủ công.</t>
  </si>
  <si>
    <t>S1-TC037</t>
  </si>
  <si>
    <t>Proxy/CORS đúng origin local</t>
  </si>
  <si>
    <t>URL frontend/backend thật trong Du lieu.</t>
  </si>
  <si>
    <t>1. Mở frontend
2. Gọi chức năng đọc dữ liệu
3. Kiểm tra Network và Console</t>
  </si>
  <si>
    <t>Request đến đúng backend; không bị lỗi CORS/proxy trên origin localhost đã cấu hình.</t>
  </si>
  <si>
    <t>S1-TC038</t>
  </si>
  <si>
    <t>Smoke sau khởi động lại</t>
  </si>
  <si>
    <t>Dữ liệu seed, MySQL/backend/frontend.</t>
  </si>
  <si>
    <t>1. Khởi động lại các thành phần
2. Mở trang chính
3. Mở dữ liệu
4. Refresh</t>
  </si>
  <si>
    <t>Các thành phần kết nối và dữ liệu đúng sau khởi động lại.</t>
  </si>
  <si>
    <t>Dữ liệu và cấu hình trước khi chạy</t>
  </si>
  <si>
    <t>Mẫu TEST_ là dữ liệu đề xuất. Hợp điền cột D; ca phụ thuộc thông tin chưa chốt được ghi Blocked.</t>
  </si>
  <si>
    <t>Nhóm</t>
  </si>
  <si>
    <t>Tham số/bộ dữ liệu</t>
  </si>
  <si>
    <t>Hướng dẫn chuẩn bị</t>
  </si>
  <si>
    <t>Giá trị/ID thực tế đã xác nhận</t>
  </si>
  <si>
    <t>ENV</t>
  </si>
  <si>
    <t>Frontend URL</t>
  </si>
  <si>
    <t>Ghi URL terminal, thường http://localhost:3000.</t>
  </si>
  <si>
    <t>Backend URL</t>
  </si>
  <si>
    <t>Ghi cổng thật, thường http://localhost:4000.</t>
  </si>
  <si>
    <t>CSDL thử</t>
  </si>
  <si>
    <t>Ghi tên CSDL/bản sao; không dùng dữ liệu gốc.</t>
  </si>
  <si>
    <t>Ghi bản dùng để chạy và ngày giờ.</t>
  </si>
  <si>
    <t>Máy/trình duyệt</t>
  </si>
  <si>
    <t>Ghi Windows, CPU/RAM, Chrome/Edge và phiên bản.</t>
  </si>
  <si>
    <t>API</t>
  </si>
  <si>
    <t>Endpoint thật</t>
  </si>
  <si>
    <t>Ghi method, path và cấu trúc response từ Network/tài liệu. Không đoán URL API.</t>
  </si>
  <si>
    <t>RULE</t>
  </si>
  <si>
    <t>Trường bắt buộc</t>
  </si>
  <si>
    <t>Ghi theo form/API và yêu cầu đã duyệt; không suy ra chỉ từ dấu * trên UI.</t>
  </si>
  <si>
    <t>DB</t>
  </si>
  <si>
    <t>Thiết kế/script</t>
  </si>
  <si>
    <t>Ghi tên script, bảng/cột, PK/FK, SQL mode và quy tắc xóa theo bản được duyệt.</t>
  </si>
  <si>
    <t>UI</t>
  </si>
  <si>
    <t>Màn hình nền tảng</t>
  </si>
  <si>
    <t>Ghi danh sách màn hình, menu, form/modal đã triển khai trong Sprint 1.</t>
  </si>
  <si>
    <t>Sổ lỗi Sprint 1</t>
  </si>
  <si>
    <t>Mã lỗi S1-BUG-001... Hợp kiểm thử lại và đóng lỗi; chỉ ghi lỗi quan sát được.</t>
  </si>
  <si>
    <t>Mã ca liên quan</t>
  </si>
  <si>
    <t>Tiêu đề</t>
  </si>
  <si>
    <t>Mức độ</t>
  </si>
  <si>
    <t>Bước tái hiện</t>
  </si>
  <si>
    <t>Mong đợi</t>
  </si>
  <si>
    <t>Thực tế</t>
  </si>
  <si>
    <t>Build phát hiện</t>
  </si>
  <si>
    <t>Người sửa</t>
  </si>
  <si>
    <t>Trạng thái lỗi</t>
  </si>
  <si>
    <t>Build sửa</t>
  </si>
  <si>
    <t>Ngày retest</t>
  </si>
  <si>
    <t>Kết quả retest</t>
  </si>
  <si>
    <t>Ghi chú</t>
  </si>
  <si>
    <t>Lịch sử từng lần kiểm thử</t>
  </si>
  <si>
    <t>Ghi một dòng cho mỗi lần chạy; giữ nguyên lịch sử cũ. Thêm dòng bằng Insert Table Rows khi cần.</t>
  </si>
  <si>
    <t>Lần chạy</t>
  </si>
  <si>
    <t>Người chạy</t>
  </si>
  <si>
    <t>Ngày giờ</t>
  </si>
  <si>
    <t>Dữ liệu/ID dùng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</si>
</sst>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d/mm/yyyy\ hh:mm"/>
    <numFmt numFmtId="179" formatCode="0.0%"/>
  </numFmts>
  <fonts count="25">
    <font>
      <sz val="11"/>
      <color rgb="FF000000"/>
      <name val="Carlito"/>
      <charset val="134"/>
      <scheme val="minor"/>
    </font>
    <font>
      <sz val="11"/>
      <color rgb="FF1F2937"/>
      <name val="Arial"/>
      <charset val="134"/>
    </font>
    <font>
      <b/>
      <sz val="16"/>
      <color rgb="FF263E63"/>
      <name val="Arial"/>
      <charset val="134"/>
    </font>
    <font>
      <b/>
      <sz val="11"/>
      <color rgb="FFFFFFFF"/>
      <name val="Arial"/>
      <charset val="134"/>
    </font>
    <font>
      <b/>
      <sz val="14"/>
      <color rgb="FF263E63"/>
      <name val="Arial"/>
      <charset val="134"/>
    </font>
    <font>
      <sz val="11"/>
      <color theme="1"/>
      <name val="Carlito"/>
      <charset val="134"/>
      <scheme val="minor"/>
    </font>
    <font>
      <u/>
      <sz val="11"/>
      <color rgb="FF0000FF"/>
      <name val="Carlito"/>
      <charset val="0"/>
      <scheme val="minor"/>
    </font>
    <font>
      <u/>
      <sz val="11"/>
      <color rgb="FF800080"/>
      <name val="Carlito"/>
      <charset val="0"/>
      <scheme val="minor"/>
    </font>
    <font>
      <sz val="11"/>
      <color rgb="FFFF0000"/>
      <name val="Carlito"/>
      <charset val="0"/>
      <scheme val="minor"/>
    </font>
    <font>
      <b/>
      <sz val="18"/>
      <color theme="3"/>
      <name val="Carlito"/>
      <charset val="134"/>
      <scheme val="minor"/>
    </font>
    <font>
      <i/>
      <sz val="11"/>
      <color rgb="FF7F7F7F"/>
      <name val="Carlito"/>
      <charset val="0"/>
      <scheme val="minor"/>
    </font>
    <font>
      <b/>
      <sz val="15"/>
      <color theme="3"/>
      <name val="Carlito"/>
      <charset val="134"/>
      <scheme val="minor"/>
    </font>
    <font>
      <b/>
      <sz val="13"/>
      <color theme="3"/>
      <name val="Carlito"/>
      <charset val="134"/>
      <scheme val="minor"/>
    </font>
    <font>
      <b/>
      <sz val="11"/>
      <color theme="3"/>
      <name val="Carlito"/>
      <charset val="134"/>
      <scheme val="minor"/>
    </font>
    <font>
      <sz val="11"/>
      <color rgb="FF3F3F76"/>
      <name val="Carlito"/>
      <charset val="0"/>
      <scheme val="minor"/>
    </font>
    <font>
      <b/>
      <sz val="11"/>
      <color rgb="FF3F3F3F"/>
      <name val="Carlito"/>
      <charset val="0"/>
      <scheme val="minor"/>
    </font>
    <font>
      <b/>
      <sz val="11"/>
      <color rgb="FFFA7D00"/>
      <name val="Carlito"/>
      <charset val="0"/>
      <scheme val="minor"/>
    </font>
    <font>
      <b/>
      <sz val="11"/>
      <color rgb="FFFFFFFF"/>
      <name val="Carlito"/>
      <charset val="0"/>
      <scheme val="minor"/>
    </font>
    <font>
      <sz val="11"/>
      <color rgb="FFFA7D00"/>
      <name val="Carlito"/>
      <charset val="0"/>
      <scheme val="minor"/>
    </font>
    <font>
      <b/>
      <sz val="11"/>
      <color theme="1"/>
      <name val="Carlito"/>
      <charset val="0"/>
      <scheme val="minor"/>
    </font>
    <font>
      <sz val="11"/>
      <color rgb="FF006100"/>
      <name val="Carlito"/>
      <charset val="0"/>
      <scheme val="minor"/>
    </font>
    <font>
      <sz val="11"/>
      <color rgb="FF9C0006"/>
      <name val="Carlito"/>
      <charset val="0"/>
      <scheme val="minor"/>
    </font>
    <font>
      <sz val="11"/>
      <color rgb="FF9C6500"/>
      <name val="Carlito"/>
      <charset val="0"/>
      <scheme val="minor"/>
    </font>
    <font>
      <sz val="11"/>
      <color theme="0"/>
      <name val="Carlito"/>
      <charset val="0"/>
      <scheme val="minor"/>
    </font>
    <font>
      <sz val="11"/>
      <color theme="1"/>
      <name val="Carlito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263E63"/>
        <bgColor rgb="FF263E63"/>
      </patternFill>
    </fill>
    <fill>
      <patternFill patternType="solid">
        <fgColor rgb="FFFFF3CC"/>
        <bgColor rgb="FFFFF3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11">
    <xf numFmtId="0" fontId="0" fillId="0" borderId="0" xfId="0" applyFont="1" applyAlignment="1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/>
    </xf>
    <xf numFmtId="0" fontId="1" fillId="0" borderId="0" xfId="0" applyFont="1" applyAlignment="1">
      <alignment vertical="top"/>
    </xf>
    <xf numFmtId="0" fontId="3" fillId="2" borderId="0" xfId="0" applyFont="1" applyFill="1" applyBorder="1" applyAlignment="1">
      <alignment horizontal="center" vertical="center" wrapText="1"/>
    </xf>
    <xf numFmtId="0" fontId="1" fillId="3" borderId="0" xfId="0" applyFont="1" applyFill="1" applyBorder="1" applyAlignment="1">
      <alignment vertical="top" wrapText="1"/>
    </xf>
    <xf numFmtId="178" fontId="1" fillId="3" borderId="0" xfId="0" applyNumberFormat="1" applyFont="1" applyFill="1" applyBorder="1" applyAlignment="1">
      <alignment vertical="top" wrapText="1"/>
    </xf>
    <xf numFmtId="0" fontId="4" fillId="0" borderId="0" xfId="0" applyFont="1"/>
    <xf numFmtId="0" fontId="3" fillId="2" borderId="0" xfId="0" applyFont="1" applyFill="1" applyBorder="1" applyAlignment="1">
      <alignment vertical="top" wrapText="1"/>
    </xf>
    <xf numFmtId="1" fontId="1" fillId="0" borderId="0" xfId="0" applyNumberFormat="1" applyFont="1" applyAlignment="1">
      <alignment vertical="top" wrapText="1"/>
    </xf>
    <xf numFmtId="179" fontId="1" fillId="0" borderId="0" xfId="0" applyNumberFormat="1" applyFont="1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66">
    <dxf>
      <font>
        <name val="Carlito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Carlito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Carlito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Carlito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Carlito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Carlito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Carlito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Carlito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Carlito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Carlito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Carlito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Carlito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Carlito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Carlito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Carlito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Carlito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Carlito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b val="1"/>
        <color rgb="FFA31515"/>
      </font>
      <fill>
        <patternFill patternType="solid">
          <fgColor rgb="FFFDE8E7"/>
          <bgColor rgb="FFFDE8E7"/>
        </patternFill>
      </fill>
    </dxf>
    <dxf>
      <font>
        <b val="1"/>
        <color rgb="FF845600"/>
      </font>
      <fill>
        <patternFill patternType="solid">
          <fgColor rgb="FFFFF0D6"/>
          <bgColor rgb="FFFFF0D6"/>
        </patternFill>
      </fill>
    </dxf>
    <dxf>
      <font>
        <b val="1"/>
        <color rgb="FF245837"/>
      </font>
      <fill>
        <patternFill patternType="solid">
          <fgColor rgb="FFE8F2EC"/>
          <bgColor rgb="FFE8F2EC"/>
        </patternFill>
      </fill>
    </dxf>
    <dxf>
      <font>
        <name val="Carlito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Carlito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Carlito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Carlito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Carlito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Carlito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Carlito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Carlito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Carlito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Carlito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Carlito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Carlito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Carlito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Carlito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Carlito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Carlito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Carlito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Carlito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Carlito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Carlito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Carlito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Carlito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Carlito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Carlito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Carlito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Carlito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Carlito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Carlito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Carlito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Carlito"/>
        <scheme val="minor"/>
        <charset val="134"/>
        <family val="0"/>
        <b val="0"/>
        <i val="0"/>
        <strike val="0"/>
        <u val="none"/>
        <sz val="11"/>
        <color rgb="FF000000"/>
      </font>
    </dxf>
    <dxf>
      <fill>
        <patternFill patternType="solid">
          <fgColor theme="0"/>
          <bgColor theme="0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4"/>
          <bgColor theme="4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theme="0"/>
          <bgColor theme="0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4"/>
          <bgColor theme="4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theme="0"/>
          <bgColor theme="0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4"/>
          <bgColor theme="4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theme="0"/>
          <bgColor theme="0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4"/>
          <bgColor theme="4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</dxfs>
  <tableStyles count="4">
    <tableStyle name="Loi-style" pivot="0" count="4" xr9:uid="{EF6189A3-A4E4-4452-BC01-4D675FD89EA4}">
      <tableStyleElement type="wholeTable" dxfId="53"/>
      <tableStyleElement type="headerRow" dxfId="52"/>
      <tableStyleElement type="firstRowStripe" dxfId="51"/>
      <tableStyleElement type="secondRowStripe" dxfId="50"/>
    </tableStyle>
    <tableStyle name="Test cases-style" pivot="0" count="4" xr9:uid="{9C69C160-067B-40D1-9DC3-117341945916}">
      <tableStyleElement type="wholeTable" dxfId="57"/>
      <tableStyleElement type="headerRow" dxfId="56"/>
      <tableStyleElement type="firstRowStripe" dxfId="55"/>
      <tableStyleElement type="secondRowStripe" dxfId="54"/>
    </tableStyle>
    <tableStyle name="Du lieu-style" pivot="0" count="4" xr9:uid="{226472ED-028E-405E-B811-FF11C075B0B2}">
      <tableStyleElement type="wholeTable" dxfId="61"/>
      <tableStyleElement type="headerRow" dxfId="60"/>
      <tableStyleElement type="firstRowStripe" dxfId="59"/>
      <tableStyleElement type="secondRowStripe" dxfId="58"/>
    </tableStyle>
    <tableStyle name="Nhat ky-style" pivot="0" count="4" xr9:uid="{B837FEEB-7C3D-47CB-8523-4DF712A7769D}">
      <tableStyleElement type="wholeTable" dxfId="65"/>
      <tableStyleElement type="headerRow" dxfId="64"/>
      <tableStyleElement type="firstRowStripe" dxfId="63"/>
      <tableStyleElement type="secondRowStripe" dxfId="62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2" name="CasesS1" displayName="CasesS1" ref="A5:Q43">
  <tableColumns count="17">
    <tableColumn id="1" name="Mã ca" dataDxfId="0"/>
    <tableColumn id="2" name="Phạm vi" dataDxfId="1"/>
    <tableColumn id="3" name="Ca mẫu Test Plan" dataDxfId="2"/>
    <tableColumn id="4" name="Tên ca kiểm thử" dataDxfId="3"/>
    <tableColumn id="5" name="Ưu tiên" dataDxfId="4"/>
    <tableColumn id="6" name="Điều kiện trước" dataDxfId="5"/>
    <tableColumn id="7" name="Dữ liệu thử" dataDxfId="6"/>
    <tableColumn id="8" name="Các bước thực hiện" dataDxfId="7"/>
    <tableColumn id="9" name="Kết quả mong đợi" dataDxfId="8"/>
    <tableColumn id="10" name="Dọn dẹp/khôi phục" dataDxfId="9"/>
    <tableColumn id="11" name="Trạng thái" dataDxfId="10"/>
    <tableColumn id="12" name="Kết quả thực tế" dataDxfId="11"/>
    <tableColumn id="13" name="Ngày chạy" dataDxfId="12"/>
    <tableColumn id="14" name="Build/commit" dataDxfId="13"/>
    <tableColumn id="15" name="Bằng chứng" dataDxfId="14"/>
    <tableColumn id="16" name="Mã lỗi" dataDxfId="15"/>
    <tableColumn id="17" name="Ghi chú/điểm cần chốt" dataDxfId="16"/>
  </tableColumns>
  <tableStyleInfo name="Test cases-style" showFirstColumn="1" showLastColumn="1" showRowStripes="1" showColumnStripes="0"/>
</table>
</file>

<file path=xl/tables/table2.xml><?xml version="1.0" encoding="utf-8"?>
<table xmlns="http://schemas.openxmlformats.org/spreadsheetml/2006/main" id="3" name="DataS1" displayName="DataS1" ref="A5:D14">
  <tableColumns count="4">
    <tableColumn id="1" name="Nhóm" dataDxfId="20"/>
    <tableColumn id="2" name="Tham số/bộ dữ liệu" dataDxfId="21"/>
    <tableColumn id="3" name="Hướng dẫn chuẩn bị" dataDxfId="22"/>
    <tableColumn id="4" name="Giá trị/ID thực tế đã xác nhận" dataDxfId="23"/>
  </tableColumns>
  <tableStyleInfo name="Du lieu-style" showFirstColumn="1" showLastColumn="1" showRowStripes="1" showColumnStripes="0"/>
</table>
</file>

<file path=xl/tables/table3.xml><?xml version="1.0" encoding="utf-8"?>
<table xmlns="http://schemas.openxmlformats.org/spreadsheetml/2006/main" id="1" name="BugsS1" displayName="BugsS1" ref="A5:O25">
  <tableColumns count="15">
    <tableColumn id="1" name="Mã lỗi" dataDxfId="24"/>
    <tableColumn id="2" name="Mã ca liên quan" dataDxfId="25"/>
    <tableColumn id="3" name="Tiêu đề" dataDxfId="26"/>
    <tableColumn id="4" name="Mức độ" dataDxfId="27"/>
    <tableColumn id="5" name="Bước tái hiện" dataDxfId="28"/>
    <tableColumn id="6" name="Mong đợi" dataDxfId="29"/>
    <tableColumn id="7" name="Thực tế" dataDxfId="30"/>
    <tableColumn id="8" name="Build phát hiện" dataDxfId="31"/>
    <tableColumn id="9" name="Bằng chứng" dataDxfId="32"/>
    <tableColumn id="10" name="Người sửa" dataDxfId="33"/>
    <tableColumn id="11" name="Trạng thái lỗi" dataDxfId="34"/>
    <tableColumn id="12" name="Build sửa" dataDxfId="35"/>
    <tableColumn id="13" name="Ngày retest" dataDxfId="36"/>
    <tableColumn id="14" name="Kết quả retest" dataDxfId="37"/>
    <tableColumn id="15" name="Ghi chú" dataDxfId="38"/>
  </tableColumns>
  <tableStyleInfo name="Loi-style" showFirstColumn="1" showLastColumn="1" showRowStripes="1" showColumnStripes="0"/>
</table>
</file>

<file path=xl/tables/table4.xml><?xml version="1.0" encoding="utf-8"?>
<table xmlns="http://schemas.openxmlformats.org/spreadsheetml/2006/main" id="4" name="RunsS1" displayName="RunsS1" ref="A5:K30">
  <tableColumns count="11">
    <tableColumn id="1" name="Lần chạy" dataDxfId="39"/>
    <tableColumn id="2" name="Mã ca" dataDxfId="40"/>
    <tableColumn id="3" name="Người chạy" dataDxfId="41"/>
    <tableColumn id="4" name="Ngày giờ" dataDxfId="42"/>
    <tableColumn id="5" name="Build/commit" dataDxfId="43"/>
    <tableColumn id="6" name="Dữ liệu/ID dùng" dataDxfId="44"/>
    <tableColumn id="7" name="Trạng thái" dataDxfId="45"/>
    <tableColumn id="8" name="Kết quả thực tế" dataDxfId="46"/>
    <tableColumn id="9" name="Bằng chứng" dataDxfId="47"/>
    <tableColumn id="10" name="Mã lỗi" dataDxfId="48"/>
    <tableColumn id="11" name="Ghi chú" dataDxfId="49"/>
  </tableColumns>
  <tableStyleInfo name="Nhat ky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00"/>
  <sheetViews>
    <sheetView showGridLines="0" tabSelected="1" workbookViewId="0">
      <selection activeCell="E16" sqref="E16"/>
    </sheetView>
  </sheetViews>
  <sheetFormatPr defaultColWidth="12.6333333333333" defaultRowHeight="15" customHeight="1" outlineLevelCol="5"/>
  <cols>
    <col min="1" max="1" width="43" customWidth="1"/>
    <col min="2" max="2" width="24" customWidth="1"/>
    <col min="3" max="3" width="4" customWidth="1"/>
    <col min="4" max="4" width="39" customWidth="1"/>
    <col min="5" max="5" width="24" customWidth="1"/>
    <col min="6" max="6" width="61" customWidth="1"/>
    <col min="7" max="26" width="8.63333333333333" customWidth="1"/>
  </cols>
  <sheetData>
    <row r="1" ht="13.8" spans="1:6">
      <c r="A1" s="1"/>
      <c r="B1" s="1"/>
      <c r="C1" s="1"/>
      <c r="D1" s="1"/>
      <c r="E1" s="1"/>
      <c r="F1" s="1"/>
    </row>
    <row r="2" ht="27.75" customHeight="1" spans="1:6">
      <c r="A2" s="2" t="s">
        <v>0</v>
      </c>
      <c r="B2" s="1"/>
      <c r="C2" s="1"/>
      <c r="D2" s="1"/>
      <c r="E2" s="1"/>
      <c r="F2" s="1"/>
    </row>
    <row r="3" ht="13.8" spans="1:6">
      <c r="A3" s="1"/>
      <c r="B3" s="1"/>
      <c r="C3" s="1"/>
      <c r="D3" s="1"/>
      <c r="E3" s="1"/>
      <c r="F3" s="1"/>
    </row>
    <row r="4" ht="13.8" spans="1:6">
      <c r="A4" s="1" t="s">
        <v>1</v>
      </c>
      <c r="B4" s="1" t="s">
        <v>2</v>
      </c>
      <c r="C4" s="1"/>
      <c r="D4" s="1"/>
      <c r="E4" s="1"/>
      <c r="F4" s="1"/>
    </row>
    <row r="5" ht="13.8" spans="1:6">
      <c r="A5" s="1" t="s">
        <v>3</v>
      </c>
      <c r="B5" s="1" t="s">
        <v>4</v>
      </c>
      <c r="C5" s="1"/>
      <c r="D5" s="1"/>
      <c r="E5" s="1"/>
      <c r="F5" s="1"/>
    </row>
    <row r="6" ht="13.8" spans="1:6">
      <c r="A6" s="1"/>
      <c r="B6" s="1"/>
      <c r="C6" s="1"/>
      <c r="D6" s="1"/>
      <c r="E6" s="1"/>
      <c r="F6" s="1"/>
    </row>
    <row r="7" ht="30" customHeight="1" spans="1:6">
      <c r="A7" s="4" t="s">
        <v>5</v>
      </c>
      <c r="B7" s="4" t="s">
        <v>6</v>
      </c>
      <c r="C7" s="1"/>
      <c r="D7" s="8" t="s">
        <v>7</v>
      </c>
      <c r="E7" s="8" t="s">
        <v>8</v>
      </c>
      <c r="F7" s="8" t="s">
        <v>9</v>
      </c>
    </row>
    <row r="8" ht="30" customHeight="1" spans="1:6">
      <c r="A8" s="1" t="s">
        <v>10</v>
      </c>
      <c r="B8" s="9">
        <f>COUNTA('Test cases'!$A$6:$A$43)</f>
        <v>38</v>
      </c>
      <c r="C8" s="1"/>
      <c r="D8" s="1" t="s">
        <v>11</v>
      </c>
      <c r="E8" s="1" t="s">
        <v>12</v>
      </c>
      <c r="F8" s="1" t="s">
        <v>13</v>
      </c>
    </row>
    <row r="9" ht="30" customHeight="1" spans="1:6">
      <c r="A9" s="1" t="s">
        <v>14</v>
      </c>
      <c r="B9" s="9">
        <f>COUNTIFS('Test cases'!$K$6:$K$43,"Not Run")</f>
        <v>38</v>
      </c>
      <c r="C9" s="1"/>
      <c r="D9" s="1" t="s">
        <v>15</v>
      </c>
      <c r="E9" s="1" t="s">
        <v>16</v>
      </c>
      <c r="F9" s="1" t="s">
        <v>17</v>
      </c>
    </row>
    <row r="10" ht="30" customHeight="1" spans="1:6">
      <c r="A10" s="1" t="s">
        <v>18</v>
      </c>
      <c r="B10" s="9">
        <f>COUNTIFS('Test cases'!$K$6:$K$43,"Pass")</f>
        <v>0</v>
      </c>
      <c r="C10" s="1"/>
      <c r="D10" s="1" t="s">
        <v>19</v>
      </c>
      <c r="E10" s="1" t="s">
        <v>20</v>
      </c>
      <c r="F10" s="1" t="s">
        <v>21</v>
      </c>
    </row>
    <row r="11" ht="30" customHeight="1" spans="1:6">
      <c r="A11" s="1" t="s">
        <v>22</v>
      </c>
      <c r="B11" s="9">
        <f>COUNTIFS('Test cases'!$K$6:$K$43,"Fail")</f>
        <v>0</v>
      </c>
      <c r="C11" s="1"/>
      <c r="D11" s="1"/>
      <c r="E11" s="1"/>
      <c r="F11" s="1"/>
    </row>
    <row r="12" ht="30" customHeight="1" spans="1:6">
      <c r="A12" s="1" t="s">
        <v>23</v>
      </c>
      <c r="B12" s="9">
        <f>COUNTIFS('Test cases'!$K$6:$K$43,"Blocked")</f>
        <v>0</v>
      </c>
      <c r="C12" s="1"/>
      <c r="D12" s="1"/>
      <c r="E12" s="1"/>
      <c r="F12" s="1"/>
    </row>
    <row r="13" ht="30" customHeight="1" spans="1:6">
      <c r="A13" s="1" t="s">
        <v>24</v>
      </c>
      <c r="B13" s="9">
        <f>COUNTIFS('Test cases'!$K$6:$K$43,"N/A")</f>
        <v>0</v>
      </c>
      <c r="C13" s="1"/>
      <c r="D13" s="3" t="s">
        <v>25</v>
      </c>
      <c r="E13" s="1"/>
      <c r="F13" s="1"/>
    </row>
    <row r="14" ht="30" customHeight="1" spans="1:6">
      <c r="A14" s="1" t="s">
        <v>26</v>
      </c>
      <c r="B14" s="9">
        <f>B8-B13</f>
        <v>38</v>
      </c>
      <c r="C14" s="1"/>
      <c r="D14" s="1"/>
      <c r="E14" s="1"/>
      <c r="F14" s="1"/>
    </row>
    <row r="15" ht="30" customHeight="1" spans="1:6">
      <c r="A15" s="1" t="s">
        <v>27</v>
      </c>
      <c r="B15" s="10">
        <f>IF(B14=0,"Chưa xác định",B10/B14)</f>
        <v>0</v>
      </c>
      <c r="C15" s="1"/>
      <c r="D15" s="1"/>
      <c r="E15" s="1"/>
      <c r="F15" s="1"/>
    </row>
    <row r="16" ht="30" customHeight="1" spans="1:6">
      <c r="A16" s="1" t="s">
        <v>28</v>
      </c>
      <c r="B16" s="9">
        <f>COUNTIFS('Test cases'!$E$6:$E$43,"P1",'Test cases'!$K$6:$K$43,"&lt;&gt;N/A")</f>
        <v>22</v>
      </c>
      <c r="C16" s="1"/>
      <c r="D16" s="1"/>
      <c r="E16" s="1"/>
      <c r="F16" s="1"/>
    </row>
    <row r="17" ht="30" customHeight="1" spans="1:6">
      <c r="A17" s="1" t="s">
        <v>29</v>
      </c>
      <c r="B17" s="9">
        <f>COUNTIFS('Test cases'!$E$6:$E$43,"P1",'Test cases'!$K$6:$K$43,"Pass")</f>
        <v>0</v>
      </c>
      <c r="C17" s="1"/>
      <c r="D17" s="1"/>
      <c r="E17" s="1"/>
      <c r="F17" s="1"/>
    </row>
    <row r="18" ht="13.8" spans="1:6">
      <c r="A18" s="1"/>
      <c r="B18" s="1"/>
      <c r="C18" s="1"/>
      <c r="D18" s="1"/>
      <c r="E18" s="1"/>
      <c r="F18" s="1"/>
    </row>
    <row r="19" ht="13.8" spans="1:6">
      <c r="A19" s="1"/>
      <c r="B19" s="1"/>
      <c r="C19" s="1"/>
      <c r="D19" s="1"/>
      <c r="E19" s="1"/>
      <c r="F19" s="1"/>
    </row>
    <row r="20" ht="33.75" customHeight="1" spans="1:6">
      <c r="A20" s="4" t="s">
        <v>30</v>
      </c>
      <c r="B20" s="4" t="s">
        <v>6</v>
      </c>
      <c r="C20" s="1"/>
      <c r="D20" s="1"/>
      <c r="E20" s="1"/>
      <c r="F20" s="1"/>
    </row>
    <row r="21" ht="30" customHeight="1" spans="1:6">
      <c r="A21" s="1" t="s">
        <v>31</v>
      </c>
      <c r="B21" s="1">
        <v>10</v>
      </c>
      <c r="C21" s="1"/>
      <c r="D21" s="3" t="s">
        <v>32</v>
      </c>
      <c r="E21" s="1"/>
      <c r="F21" s="1"/>
    </row>
    <row r="22" ht="30" customHeight="1" spans="1:6">
      <c r="A22" s="1" t="s">
        <v>33</v>
      </c>
      <c r="B22" s="1">
        <v>11</v>
      </c>
      <c r="C22" s="1"/>
      <c r="D22" s="3" t="s">
        <v>34</v>
      </c>
      <c r="E22" s="1"/>
      <c r="F22" s="1"/>
    </row>
    <row r="23" ht="30" customHeight="1" spans="1:6">
      <c r="A23" s="1" t="s">
        <v>35</v>
      </c>
      <c r="B23" s="1">
        <v>9</v>
      </c>
      <c r="C23" s="1"/>
      <c r="D23" s="3" t="s">
        <v>36</v>
      </c>
      <c r="E23" s="1"/>
      <c r="F23" s="1"/>
    </row>
    <row r="24" ht="30" customHeight="1" spans="1:6">
      <c r="A24" s="1" t="s">
        <v>37</v>
      </c>
      <c r="B24" s="1">
        <v>8</v>
      </c>
      <c r="C24" s="1"/>
      <c r="D24" s="3" t="s">
        <v>38</v>
      </c>
      <c r="E24" s="1"/>
      <c r="F24" s="1"/>
    </row>
    <row r="25" ht="30" customHeight="1" spans="1:6">
      <c r="A25" s="1"/>
      <c r="B25" s="1"/>
      <c r="C25" s="1"/>
      <c r="D25" s="1"/>
      <c r="E25" s="1"/>
      <c r="F25" s="1"/>
    </row>
    <row r="26" ht="30" customHeight="1" spans="1:6">
      <c r="A26" s="1"/>
      <c r="B26" s="1"/>
      <c r="C26" s="1"/>
      <c r="D26" s="1"/>
      <c r="E26" s="1"/>
      <c r="F26" s="1"/>
    </row>
    <row r="27" ht="30" customHeight="1" spans="1:6">
      <c r="A27" s="1"/>
      <c r="B27" s="1"/>
      <c r="C27" s="1"/>
      <c r="D27" s="1"/>
      <c r="E27" s="1"/>
      <c r="F27" s="1"/>
    </row>
    <row r="28" ht="30" customHeight="1" spans="1:6">
      <c r="A28" s="1"/>
      <c r="B28" s="1"/>
      <c r="C28" s="1"/>
      <c r="D28" s="1"/>
      <c r="E28" s="1"/>
      <c r="F28" s="1"/>
    </row>
    <row r="29" ht="30" customHeight="1" spans="1:6">
      <c r="A29" s="1"/>
      <c r="B29" s="1"/>
      <c r="C29" s="1"/>
      <c r="D29" s="1"/>
      <c r="E29" s="1"/>
      <c r="F29" s="1"/>
    </row>
    <row r="30" ht="30" customHeight="1" spans="1:6">
      <c r="A30" s="1"/>
      <c r="B30" s="1"/>
      <c r="C30" s="1"/>
      <c r="D30" s="1"/>
      <c r="E30" s="1"/>
      <c r="F30" s="1"/>
    </row>
    <row r="31" ht="30" customHeight="1" spans="1:6">
      <c r="A31" s="1"/>
      <c r="B31" s="1"/>
      <c r="C31" s="1"/>
      <c r="D31" s="1"/>
      <c r="E31" s="1"/>
      <c r="F31" s="1"/>
    </row>
    <row r="32" ht="30" customHeight="1" spans="1:6">
      <c r="A32" s="1"/>
      <c r="B32" s="1"/>
      <c r="C32" s="1"/>
      <c r="D32" s="1"/>
      <c r="E32" s="1"/>
      <c r="F32" s="1"/>
    </row>
    <row r="33" ht="30" customHeight="1" spans="1:6">
      <c r="A33" s="1"/>
      <c r="B33" s="1"/>
      <c r="C33" s="1"/>
      <c r="D33" s="1"/>
      <c r="E33" s="1"/>
      <c r="F33" s="1"/>
    </row>
    <row r="34" ht="30" customHeight="1" spans="1:6">
      <c r="A34" s="1"/>
      <c r="B34" s="1"/>
      <c r="C34" s="1"/>
      <c r="D34" s="1"/>
      <c r="E34" s="1"/>
      <c r="F34" s="1"/>
    </row>
    <row r="35" ht="30" customHeight="1" spans="1:6">
      <c r="A35" s="1"/>
      <c r="B35" s="1"/>
      <c r="C35" s="1"/>
      <c r="D35" s="1"/>
      <c r="E35" s="1"/>
      <c r="F35" s="1"/>
    </row>
    <row r="36" ht="30" customHeight="1" spans="1:6">
      <c r="A36" s="1"/>
      <c r="B36" s="1"/>
      <c r="C36" s="1"/>
      <c r="D36" s="1"/>
      <c r="E36" s="1"/>
      <c r="F36" s="1"/>
    </row>
    <row r="37" ht="15.75" customHeight="1" spans="1:6">
      <c r="A37" s="1"/>
      <c r="B37" s="1"/>
      <c r="C37" s="1"/>
      <c r="D37" s="1"/>
      <c r="E37" s="1"/>
      <c r="F37" s="1"/>
    </row>
    <row r="38" ht="25.5" customHeight="1" spans="1:6">
      <c r="A38" s="1"/>
      <c r="B38" s="1"/>
      <c r="C38" s="1"/>
      <c r="D38" s="3"/>
      <c r="E38" s="1"/>
      <c r="F38" s="1"/>
    </row>
    <row r="39" ht="25.5" customHeight="1" spans="1:6">
      <c r="A39" s="1"/>
      <c r="B39" s="1"/>
      <c r="C39" s="1"/>
      <c r="D39" s="3"/>
      <c r="E39" s="1"/>
      <c r="F39" s="1"/>
    </row>
    <row r="40" ht="25.5" customHeight="1" spans="1:6">
      <c r="A40" s="1"/>
      <c r="B40" s="1"/>
      <c r="C40" s="1"/>
      <c r="D40" s="3"/>
      <c r="E40" s="1"/>
      <c r="F40" s="1"/>
    </row>
    <row r="41" ht="25.5" customHeight="1" spans="1:6">
      <c r="A41" s="1"/>
      <c r="B41" s="1"/>
      <c r="C41" s="1"/>
      <c r="D41" s="3"/>
      <c r="E41" s="1"/>
      <c r="F41" s="1"/>
    </row>
    <row r="42" ht="25.5" customHeight="1" spans="1:6">
      <c r="A42" s="1"/>
      <c r="B42" s="1"/>
      <c r="C42" s="1"/>
      <c r="D42" s="3"/>
      <c r="E42" s="1"/>
      <c r="F42" s="1"/>
    </row>
    <row r="43" ht="25.5" customHeight="1" spans="1:6">
      <c r="A43" s="1"/>
      <c r="B43" s="1"/>
      <c r="C43" s="1"/>
      <c r="D43" s="3"/>
      <c r="E43" s="1"/>
      <c r="F43" s="1"/>
    </row>
    <row r="44" ht="25.5" customHeight="1" spans="1:6">
      <c r="A44" s="1"/>
      <c r="B44" s="1"/>
      <c r="C44" s="1"/>
      <c r="D44" s="3"/>
      <c r="E44" s="1"/>
      <c r="F44" s="1"/>
    </row>
    <row r="45" ht="25.5" customHeight="1" spans="1:6">
      <c r="A45" s="1"/>
      <c r="B45" s="1"/>
      <c r="C45" s="1"/>
      <c r="D45" s="3"/>
      <c r="E45" s="1"/>
      <c r="F45" s="1"/>
    </row>
    <row r="46" ht="25.5" customHeight="1" spans="1:6">
      <c r="A46" s="1"/>
      <c r="B46" s="1"/>
      <c r="C46" s="1"/>
      <c r="D46" s="3"/>
      <c r="E46" s="1"/>
      <c r="F46" s="1"/>
    </row>
    <row r="47" ht="25.5" customHeight="1" spans="1:6">
      <c r="A47" s="1"/>
      <c r="B47" s="1"/>
      <c r="C47" s="1"/>
      <c r="D47" s="3"/>
      <c r="E47" s="1"/>
      <c r="F47" s="1"/>
    </row>
    <row r="48" ht="25.5" customHeight="1" spans="1:6">
      <c r="A48" s="1"/>
      <c r="B48" s="1"/>
      <c r="C48" s="1"/>
      <c r="D48" s="3"/>
      <c r="E48" s="1"/>
      <c r="F48" s="1"/>
    </row>
    <row r="49" ht="25.5" customHeight="1" spans="1:6">
      <c r="A49" s="1"/>
      <c r="B49" s="1"/>
      <c r="C49" s="1"/>
      <c r="D49" s="3"/>
      <c r="E49" s="1"/>
      <c r="F49" s="1"/>
    </row>
    <row r="50" ht="25.5" customHeight="1" spans="1:6">
      <c r="A50" s="1"/>
      <c r="B50" s="1"/>
      <c r="C50" s="1"/>
      <c r="D50" s="3"/>
      <c r="E50" s="1"/>
      <c r="F50" s="1"/>
    </row>
    <row r="51" ht="25.5" customHeight="1" spans="1:6">
      <c r="A51" s="1"/>
      <c r="B51" s="1"/>
      <c r="C51" s="1"/>
      <c r="D51" s="3"/>
      <c r="E51" s="1"/>
      <c r="F51" s="1"/>
    </row>
    <row r="52" ht="15.75" customHeight="1" spans="1:6">
      <c r="A52" s="1"/>
      <c r="B52" s="1"/>
      <c r="C52" s="1"/>
      <c r="D52" s="1"/>
      <c r="E52" s="1"/>
      <c r="F52" s="1"/>
    </row>
    <row r="53" ht="15.75" customHeight="1" spans="1:6">
      <c r="A53" s="1"/>
      <c r="B53" s="1"/>
      <c r="C53" s="1"/>
      <c r="D53" s="1"/>
      <c r="E53" s="1"/>
      <c r="F53" s="1"/>
    </row>
    <row r="54" ht="15.75" customHeight="1" spans="1:6">
      <c r="A54" s="1"/>
      <c r="B54" s="1"/>
      <c r="C54" s="1"/>
      <c r="D54" s="1"/>
      <c r="E54" s="1"/>
      <c r="F54" s="1"/>
    </row>
    <row r="55" ht="15.75" customHeight="1" spans="1:6">
      <c r="A55" s="1"/>
      <c r="B55" s="1"/>
      <c r="C55" s="1"/>
      <c r="D55" s="1"/>
      <c r="E55" s="1"/>
      <c r="F55" s="1"/>
    </row>
    <row r="56" ht="15.75" customHeight="1" spans="1:6">
      <c r="A56" s="1"/>
      <c r="B56" s="1"/>
      <c r="C56" s="1"/>
      <c r="D56" s="1"/>
      <c r="E56" s="1"/>
      <c r="F56" s="1"/>
    </row>
    <row r="57" ht="15.75" customHeight="1" spans="1:6">
      <c r="A57" s="1"/>
      <c r="B57" s="1"/>
      <c r="C57" s="1"/>
      <c r="D57" s="1"/>
      <c r="E57" s="1"/>
      <c r="F57" s="1"/>
    </row>
    <row r="58" ht="15.75" customHeight="1" spans="1:6">
      <c r="A58" s="1"/>
      <c r="B58" s="1"/>
      <c r="C58" s="1"/>
      <c r="D58" s="1"/>
      <c r="E58" s="1"/>
      <c r="F58" s="1"/>
    </row>
    <row r="59" ht="15.75" customHeight="1" spans="1:6">
      <c r="A59" s="1"/>
      <c r="B59" s="1"/>
      <c r="C59" s="1"/>
      <c r="D59" s="1"/>
      <c r="E59" s="1"/>
      <c r="F59" s="1"/>
    </row>
    <row r="60" ht="15.75" customHeight="1" spans="1:6">
      <c r="A60" s="1"/>
      <c r="B60" s="1"/>
      <c r="C60" s="1"/>
      <c r="D60" s="1"/>
      <c r="E60" s="1"/>
      <c r="F60" s="1"/>
    </row>
    <row r="61" ht="15.75" customHeight="1" spans="1:6">
      <c r="A61" s="1"/>
      <c r="B61" s="1"/>
      <c r="C61" s="1"/>
      <c r="D61" s="1"/>
      <c r="E61" s="1"/>
      <c r="F61" s="1"/>
    </row>
    <row r="62" ht="15.75" customHeight="1" spans="1:6">
      <c r="A62" s="1"/>
      <c r="B62" s="1"/>
      <c r="C62" s="1"/>
      <c r="D62" s="1"/>
      <c r="E62" s="1"/>
      <c r="F62" s="1"/>
    </row>
    <row r="63" ht="15.75" customHeight="1" spans="1:6">
      <c r="A63" s="1"/>
      <c r="B63" s="1"/>
      <c r="C63" s="1"/>
      <c r="D63" s="1"/>
      <c r="E63" s="1"/>
      <c r="F63" s="1"/>
    </row>
    <row r="64" ht="15.75" customHeight="1" spans="1:6">
      <c r="A64" s="1"/>
      <c r="B64" s="1"/>
      <c r="C64" s="1"/>
      <c r="D64" s="1"/>
      <c r="E64" s="1"/>
      <c r="F64" s="1"/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paperSize="1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63E63"/>
  </sheetPr>
  <dimension ref="A1:Q1000"/>
  <sheetViews>
    <sheetView showGridLines="0" workbookViewId="0">
      <pane xSplit="1" ySplit="5" topLeftCell="B6" activePane="bottomRight" state="frozen"/>
      <selection/>
      <selection pane="topRight"/>
      <selection pane="bottomLeft"/>
      <selection pane="bottomRight" activeCell="B6" sqref="B6"/>
    </sheetView>
  </sheetViews>
  <sheetFormatPr defaultColWidth="12.6333333333333" defaultRowHeight="15" customHeight="1"/>
  <cols>
    <col min="1" max="1" width="17" customWidth="1"/>
    <col min="2" max="2" width="24" customWidth="1"/>
    <col min="3" max="3" width="21" customWidth="1"/>
    <col min="4" max="4" width="34" customWidth="1"/>
    <col min="5" max="5" width="10" customWidth="1"/>
    <col min="6" max="7" width="43" customWidth="1"/>
    <col min="8" max="9" width="58" customWidth="1"/>
    <col min="10" max="10" width="35" customWidth="1"/>
    <col min="11" max="11" width="14" customWidth="1"/>
    <col min="12" max="12" width="43" customWidth="1"/>
    <col min="13" max="13" width="18" customWidth="1"/>
    <col min="14" max="14" width="20" customWidth="1"/>
    <col min="15" max="15" width="30" customWidth="1"/>
    <col min="16" max="16" width="18" customWidth="1"/>
    <col min="17" max="17" width="42" customWidth="1"/>
    <col min="18" max="26" width="8.63333333333333" customWidth="1"/>
  </cols>
  <sheetData>
    <row r="1" ht="13.8" spans="1:17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ht="27.75" customHeight="1" spans="1:17">
      <c r="A2" s="2" t="s">
        <v>39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ht="13.8" spans="1:17">
      <c r="A3" s="3" t="s">
        <v>40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ht="13.8" spans="1:17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ht="33.75" customHeight="1" spans="1:17">
      <c r="A5" s="4" t="s">
        <v>41</v>
      </c>
      <c r="B5" s="4" t="s">
        <v>42</v>
      </c>
      <c r="C5" s="4" t="s">
        <v>43</v>
      </c>
      <c r="D5" s="4" t="s">
        <v>44</v>
      </c>
      <c r="E5" s="4" t="s">
        <v>7</v>
      </c>
      <c r="F5" s="4" t="s">
        <v>45</v>
      </c>
      <c r="G5" s="4" t="s">
        <v>46</v>
      </c>
      <c r="H5" s="4" t="s">
        <v>47</v>
      </c>
      <c r="I5" s="4" t="s">
        <v>48</v>
      </c>
      <c r="J5" s="4" t="s">
        <v>49</v>
      </c>
      <c r="K5" s="4" t="s">
        <v>50</v>
      </c>
      <c r="L5" s="4" t="s">
        <v>51</v>
      </c>
      <c r="M5" s="4" t="s">
        <v>52</v>
      </c>
      <c r="N5" s="4" t="s">
        <v>53</v>
      </c>
      <c r="O5" s="4" t="s">
        <v>54</v>
      </c>
      <c r="P5" s="4" t="s">
        <v>55</v>
      </c>
      <c r="Q5" s="4" t="s">
        <v>56</v>
      </c>
    </row>
    <row r="6" ht="57" customHeight="1" spans="1:17">
      <c r="A6" s="1" t="s">
        <v>57</v>
      </c>
      <c r="B6" s="1" t="s">
        <v>31</v>
      </c>
      <c r="C6" s="1" t="s">
        <v>58</v>
      </c>
      <c r="D6" s="1" t="s">
        <v>59</v>
      </c>
      <c r="E6" s="1" t="s">
        <v>11</v>
      </c>
      <c r="F6" s="1" t="s">
        <v>60</v>
      </c>
      <c r="G6" s="1" t="s">
        <v>61</v>
      </c>
      <c r="H6" s="1" t="s">
        <v>62</v>
      </c>
      <c r="I6" s="1" t="s">
        <v>63</v>
      </c>
      <c r="J6" s="1" t="s">
        <v>64</v>
      </c>
      <c r="K6" s="5" t="s">
        <v>14</v>
      </c>
      <c r="L6" s="5"/>
      <c r="M6" s="6"/>
      <c r="N6" s="5"/>
      <c r="O6" s="5"/>
      <c r="P6" s="5"/>
      <c r="Q6" s="5"/>
    </row>
    <row r="7" ht="57" customHeight="1" spans="1:17">
      <c r="A7" s="1" t="s">
        <v>65</v>
      </c>
      <c r="B7" s="1" t="s">
        <v>31</v>
      </c>
      <c r="C7" s="1" t="s">
        <v>58</v>
      </c>
      <c r="D7" s="1" t="s">
        <v>66</v>
      </c>
      <c r="E7" s="1" t="s">
        <v>11</v>
      </c>
      <c r="F7" s="1" t="s">
        <v>60</v>
      </c>
      <c r="G7" s="1" t="s">
        <v>67</v>
      </c>
      <c r="H7" s="1" t="s">
        <v>68</v>
      </c>
      <c r="I7" s="1" t="s">
        <v>69</v>
      </c>
      <c r="J7" s="1" t="s">
        <v>64</v>
      </c>
      <c r="K7" s="5" t="s">
        <v>14</v>
      </c>
      <c r="L7" s="5"/>
      <c r="M7" s="6"/>
      <c r="N7" s="5"/>
      <c r="O7" s="5"/>
      <c r="P7" s="5"/>
      <c r="Q7" s="5"/>
    </row>
    <row r="8" ht="57" customHeight="1" spans="1:17">
      <c r="A8" s="1" t="s">
        <v>70</v>
      </c>
      <c r="B8" s="1" t="s">
        <v>31</v>
      </c>
      <c r="C8" s="1" t="s">
        <v>58</v>
      </c>
      <c r="D8" s="1" t="s">
        <v>71</v>
      </c>
      <c r="E8" s="1" t="s">
        <v>11</v>
      </c>
      <c r="F8" s="1" t="s">
        <v>60</v>
      </c>
      <c r="G8" s="1" t="s">
        <v>72</v>
      </c>
      <c r="H8" s="1" t="s">
        <v>73</v>
      </c>
      <c r="I8" s="1" t="s">
        <v>74</v>
      </c>
      <c r="J8" s="1" t="s">
        <v>75</v>
      </c>
      <c r="K8" s="5" t="s">
        <v>14</v>
      </c>
      <c r="L8" s="5"/>
      <c r="M8" s="6"/>
      <c r="N8" s="5"/>
      <c r="O8" s="5"/>
      <c r="P8" s="5"/>
      <c r="Q8" s="5"/>
    </row>
    <row r="9" ht="57" customHeight="1" spans="1:17">
      <c r="A9" s="1" t="s">
        <v>76</v>
      </c>
      <c r="B9" s="1" t="s">
        <v>31</v>
      </c>
      <c r="C9" s="1" t="s">
        <v>58</v>
      </c>
      <c r="D9" s="1" t="s">
        <v>77</v>
      </c>
      <c r="E9" s="1" t="s">
        <v>11</v>
      </c>
      <c r="F9" s="1" t="s">
        <v>60</v>
      </c>
      <c r="G9" s="1" t="s">
        <v>78</v>
      </c>
      <c r="H9" s="1" t="s">
        <v>79</v>
      </c>
      <c r="I9" s="1" t="s">
        <v>80</v>
      </c>
      <c r="J9" s="1" t="s">
        <v>64</v>
      </c>
      <c r="K9" s="5" t="s">
        <v>14</v>
      </c>
      <c r="L9" s="5"/>
      <c r="M9" s="6"/>
      <c r="N9" s="5"/>
      <c r="O9" s="5"/>
      <c r="P9" s="5"/>
      <c r="Q9" s="5"/>
    </row>
    <row r="10" ht="57" customHeight="1" spans="1:17">
      <c r="A10" s="1" t="s">
        <v>81</v>
      </c>
      <c r="B10" s="1" t="s">
        <v>31</v>
      </c>
      <c r="C10" s="1" t="s">
        <v>58</v>
      </c>
      <c r="D10" s="1" t="s">
        <v>82</v>
      </c>
      <c r="E10" s="1" t="s">
        <v>11</v>
      </c>
      <c r="F10" s="1" t="s">
        <v>60</v>
      </c>
      <c r="G10" s="1" t="s">
        <v>83</v>
      </c>
      <c r="H10" s="1" t="s">
        <v>84</v>
      </c>
      <c r="I10" s="1" t="s">
        <v>85</v>
      </c>
      <c r="J10" s="1" t="s">
        <v>75</v>
      </c>
      <c r="K10" s="5" t="s">
        <v>14</v>
      </c>
      <c r="L10" s="5"/>
      <c r="M10" s="6"/>
      <c r="N10" s="5"/>
      <c r="O10" s="5"/>
      <c r="P10" s="5"/>
      <c r="Q10" s="5"/>
    </row>
    <row r="11" ht="57" customHeight="1" spans="1:17">
      <c r="A11" s="1" t="s">
        <v>86</v>
      </c>
      <c r="B11" s="1" t="s">
        <v>31</v>
      </c>
      <c r="C11" s="1" t="s">
        <v>58</v>
      </c>
      <c r="D11" s="1" t="s">
        <v>87</v>
      </c>
      <c r="E11" s="1" t="s">
        <v>15</v>
      </c>
      <c r="F11" s="1" t="s">
        <v>60</v>
      </c>
      <c r="G11" s="1" t="s">
        <v>88</v>
      </c>
      <c r="H11" s="1" t="s">
        <v>89</v>
      </c>
      <c r="I11" s="1" t="s">
        <v>90</v>
      </c>
      <c r="J11" s="1" t="s">
        <v>75</v>
      </c>
      <c r="K11" s="5" t="s">
        <v>14</v>
      </c>
      <c r="L11" s="5"/>
      <c r="M11" s="6"/>
      <c r="N11" s="5"/>
      <c r="O11" s="5"/>
      <c r="P11" s="5"/>
      <c r="Q11" s="5"/>
    </row>
    <row r="12" ht="57" customHeight="1" spans="1:17">
      <c r="A12" s="1" t="s">
        <v>91</v>
      </c>
      <c r="B12" s="1" t="s">
        <v>31</v>
      </c>
      <c r="C12" s="1" t="s">
        <v>58</v>
      </c>
      <c r="D12" s="1" t="s">
        <v>92</v>
      </c>
      <c r="E12" s="1" t="s">
        <v>15</v>
      </c>
      <c r="F12" s="1" t="s">
        <v>60</v>
      </c>
      <c r="G12" s="1" t="s">
        <v>93</v>
      </c>
      <c r="H12" s="1" t="s">
        <v>94</v>
      </c>
      <c r="I12" s="1" t="s">
        <v>95</v>
      </c>
      <c r="J12" s="1" t="s">
        <v>75</v>
      </c>
      <c r="K12" s="5" t="s">
        <v>14</v>
      </c>
      <c r="L12" s="5"/>
      <c r="M12" s="6"/>
      <c r="N12" s="5"/>
      <c r="O12" s="5"/>
      <c r="P12" s="5"/>
      <c r="Q12" s="5" t="s">
        <v>96</v>
      </c>
    </row>
    <row r="13" ht="57" customHeight="1" spans="1:17">
      <c r="A13" s="1" t="s">
        <v>97</v>
      </c>
      <c r="B13" s="1" t="s">
        <v>31</v>
      </c>
      <c r="C13" s="1" t="s">
        <v>58</v>
      </c>
      <c r="D13" s="1" t="s">
        <v>98</v>
      </c>
      <c r="E13" s="1" t="s">
        <v>15</v>
      </c>
      <c r="F13" s="1" t="s">
        <v>60</v>
      </c>
      <c r="G13" s="1" t="s">
        <v>99</v>
      </c>
      <c r="H13" s="1" t="s">
        <v>100</v>
      </c>
      <c r="I13" s="1" t="s">
        <v>101</v>
      </c>
      <c r="J13" s="1" t="s">
        <v>64</v>
      </c>
      <c r="K13" s="5" t="s">
        <v>14</v>
      </c>
      <c r="L13" s="5"/>
      <c r="M13" s="6"/>
      <c r="N13" s="5"/>
      <c r="O13" s="5"/>
      <c r="P13" s="5"/>
      <c r="Q13" s="5"/>
    </row>
    <row r="14" ht="57" customHeight="1" spans="1:17">
      <c r="A14" s="1" t="s">
        <v>102</v>
      </c>
      <c r="B14" s="1" t="s">
        <v>31</v>
      </c>
      <c r="C14" s="1" t="s">
        <v>58</v>
      </c>
      <c r="D14" s="1" t="s">
        <v>103</v>
      </c>
      <c r="E14" s="1" t="s">
        <v>11</v>
      </c>
      <c r="F14" s="1" t="s">
        <v>60</v>
      </c>
      <c r="G14" s="1" t="s">
        <v>104</v>
      </c>
      <c r="H14" s="1" t="s">
        <v>105</v>
      </c>
      <c r="I14" s="1" t="s">
        <v>106</v>
      </c>
      <c r="J14" s="1" t="s">
        <v>64</v>
      </c>
      <c r="K14" s="5" t="s">
        <v>14</v>
      </c>
      <c r="L14" s="5"/>
      <c r="M14" s="6"/>
      <c r="N14" s="5"/>
      <c r="O14" s="5"/>
      <c r="P14" s="5"/>
      <c r="Q14" s="5"/>
    </row>
    <row r="15" ht="57" customHeight="1" spans="1:17">
      <c r="A15" s="1" t="s">
        <v>107</v>
      </c>
      <c r="B15" s="1" t="s">
        <v>31</v>
      </c>
      <c r="C15" s="1" t="s">
        <v>58</v>
      </c>
      <c r="D15" s="1" t="s">
        <v>108</v>
      </c>
      <c r="E15" s="1" t="s">
        <v>11</v>
      </c>
      <c r="F15" s="1" t="s">
        <v>60</v>
      </c>
      <c r="G15" s="1" t="s">
        <v>109</v>
      </c>
      <c r="H15" s="1" t="s">
        <v>110</v>
      </c>
      <c r="I15" s="1" t="s">
        <v>111</v>
      </c>
      <c r="J15" s="1" t="s">
        <v>75</v>
      </c>
      <c r="K15" s="5" t="s">
        <v>14</v>
      </c>
      <c r="L15" s="5"/>
      <c r="M15" s="6"/>
      <c r="N15" s="5"/>
      <c r="O15" s="5"/>
      <c r="P15" s="5"/>
      <c r="Q15" s="5"/>
    </row>
    <row r="16" ht="72" customHeight="1" spans="1:17">
      <c r="A16" s="1" t="s">
        <v>112</v>
      </c>
      <c r="B16" s="1" t="s">
        <v>33</v>
      </c>
      <c r="C16" s="1" t="s">
        <v>113</v>
      </c>
      <c r="D16" s="1" t="s">
        <v>114</v>
      </c>
      <c r="E16" s="1" t="s">
        <v>11</v>
      </c>
      <c r="F16" s="1" t="s">
        <v>115</v>
      </c>
      <c r="G16" s="1" t="s">
        <v>116</v>
      </c>
      <c r="H16" s="1" t="s">
        <v>117</v>
      </c>
      <c r="I16" s="1" t="s">
        <v>118</v>
      </c>
      <c r="J16" s="1" t="s">
        <v>64</v>
      </c>
      <c r="K16" s="5" t="s">
        <v>14</v>
      </c>
      <c r="L16" s="5"/>
      <c r="M16" s="6"/>
      <c r="N16" s="5"/>
      <c r="O16" s="5"/>
      <c r="P16" s="5"/>
      <c r="Q16" s="5"/>
    </row>
    <row r="17" ht="72" customHeight="1" spans="1:17">
      <c r="A17" s="1" t="s">
        <v>119</v>
      </c>
      <c r="B17" s="1" t="s">
        <v>33</v>
      </c>
      <c r="C17" s="1" t="s">
        <v>113</v>
      </c>
      <c r="D17" s="1" t="s">
        <v>120</v>
      </c>
      <c r="E17" s="1" t="s">
        <v>11</v>
      </c>
      <c r="F17" s="1" t="s">
        <v>115</v>
      </c>
      <c r="G17" s="1" t="s">
        <v>121</v>
      </c>
      <c r="H17" s="1" t="s">
        <v>122</v>
      </c>
      <c r="I17" s="1" t="s">
        <v>123</v>
      </c>
      <c r="J17" s="1" t="s">
        <v>124</v>
      </c>
      <c r="K17" s="5" t="s">
        <v>14</v>
      </c>
      <c r="L17" s="5"/>
      <c r="M17" s="6"/>
      <c r="N17" s="5"/>
      <c r="O17" s="5"/>
      <c r="P17" s="5"/>
      <c r="Q17" s="5"/>
    </row>
    <row r="18" ht="72" customHeight="1" spans="1:17">
      <c r="A18" s="1" t="s">
        <v>125</v>
      </c>
      <c r="B18" s="1" t="s">
        <v>33</v>
      </c>
      <c r="C18" s="1" t="s">
        <v>113</v>
      </c>
      <c r="D18" s="1" t="s">
        <v>126</v>
      </c>
      <c r="E18" s="1" t="s">
        <v>11</v>
      </c>
      <c r="F18" s="1" t="s">
        <v>115</v>
      </c>
      <c r="G18" s="1" t="s">
        <v>127</v>
      </c>
      <c r="H18" s="1" t="s">
        <v>128</v>
      </c>
      <c r="I18" s="1" t="s">
        <v>129</v>
      </c>
      <c r="J18" s="1" t="s">
        <v>130</v>
      </c>
      <c r="K18" s="5" t="s">
        <v>14</v>
      </c>
      <c r="L18" s="5"/>
      <c r="M18" s="6"/>
      <c r="N18" s="5"/>
      <c r="O18" s="5"/>
      <c r="P18" s="5"/>
      <c r="Q18" s="5"/>
    </row>
    <row r="19" ht="57" customHeight="1" spans="1:17">
      <c r="A19" s="1" t="s">
        <v>131</v>
      </c>
      <c r="B19" s="1" t="s">
        <v>33</v>
      </c>
      <c r="C19" s="1" t="s">
        <v>132</v>
      </c>
      <c r="D19" s="1" t="s">
        <v>133</v>
      </c>
      <c r="E19" s="1" t="s">
        <v>11</v>
      </c>
      <c r="F19" s="1" t="s">
        <v>134</v>
      </c>
      <c r="G19" s="1" t="s">
        <v>135</v>
      </c>
      <c r="H19" s="1" t="s">
        <v>136</v>
      </c>
      <c r="I19" s="1" t="s">
        <v>137</v>
      </c>
      <c r="J19" s="1" t="s">
        <v>64</v>
      </c>
      <c r="K19" s="5" t="s">
        <v>14</v>
      </c>
      <c r="L19" s="5"/>
      <c r="M19" s="6"/>
      <c r="N19" s="5"/>
      <c r="O19" s="5"/>
      <c r="P19" s="5"/>
      <c r="Q19" s="5"/>
    </row>
    <row r="20" ht="57" customHeight="1" spans="1:17">
      <c r="A20" s="1" t="s">
        <v>138</v>
      </c>
      <c r="B20" s="1" t="s">
        <v>33</v>
      </c>
      <c r="C20" s="1" t="s">
        <v>132</v>
      </c>
      <c r="D20" s="1" t="s">
        <v>139</v>
      </c>
      <c r="E20" s="1" t="s">
        <v>15</v>
      </c>
      <c r="F20" s="1" t="s">
        <v>134</v>
      </c>
      <c r="G20" s="1" t="s">
        <v>140</v>
      </c>
      <c r="H20" s="1" t="s">
        <v>141</v>
      </c>
      <c r="I20" s="1" t="s">
        <v>142</v>
      </c>
      <c r="J20" s="1" t="s">
        <v>64</v>
      </c>
      <c r="K20" s="5" t="s">
        <v>14</v>
      </c>
      <c r="L20" s="5"/>
      <c r="M20" s="6"/>
      <c r="N20" s="5"/>
      <c r="O20" s="5"/>
      <c r="P20" s="5"/>
      <c r="Q20" s="5"/>
    </row>
    <row r="21" ht="57" customHeight="1" spans="1:17">
      <c r="A21" s="1" t="s">
        <v>143</v>
      </c>
      <c r="B21" s="1" t="s">
        <v>33</v>
      </c>
      <c r="C21" s="1" t="s">
        <v>132</v>
      </c>
      <c r="D21" s="1" t="s">
        <v>144</v>
      </c>
      <c r="E21" s="1" t="s">
        <v>15</v>
      </c>
      <c r="F21" s="1" t="s">
        <v>134</v>
      </c>
      <c r="G21" s="1" t="s">
        <v>145</v>
      </c>
      <c r="H21" s="1" t="s">
        <v>146</v>
      </c>
      <c r="I21" s="1" t="s">
        <v>147</v>
      </c>
      <c r="J21" s="1" t="s">
        <v>64</v>
      </c>
      <c r="K21" s="5" t="s">
        <v>14</v>
      </c>
      <c r="L21" s="5"/>
      <c r="M21" s="6"/>
      <c r="N21" s="5"/>
      <c r="O21" s="5"/>
      <c r="P21" s="5"/>
      <c r="Q21" s="5"/>
    </row>
    <row r="22" ht="57" customHeight="1" spans="1:17">
      <c r="A22" s="1" t="s">
        <v>148</v>
      </c>
      <c r="B22" s="1" t="s">
        <v>33</v>
      </c>
      <c r="C22" s="1" t="s">
        <v>149</v>
      </c>
      <c r="D22" s="1" t="s">
        <v>150</v>
      </c>
      <c r="E22" s="1" t="s">
        <v>11</v>
      </c>
      <c r="F22" s="1" t="s">
        <v>151</v>
      </c>
      <c r="G22" s="1" t="s">
        <v>152</v>
      </c>
      <c r="H22" s="1" t="s">
        <v>153</v>
      </c>
      <c r="I22" s="1" t="s">
        <v>154</v>
      </c>
      <c r="J22" s="1" t="s">
        <v>64</v>
      </c>
      <c r="K22" s="5" t="s">
        <v>14</v>
      </c>
      <c r="L22" s="5"/>
      <c r="M22" s="6"/>
      <c r="N22" s="5"/>
      <c r="O22" s="5"/>
      <c r="P22" s="5"/>
      <c r="Q22" s="5"/>
    </row>
    <row r="23" ht="42" customHeight="1" spans="1:17">
      <c r="A23" s="1" t="s">
        <v>155</v>
      </c>
      <c r="B23" s="1" t="s">
        <v>33</v>
      </c>
      <c r="C23" s="1" t="s">
        <v>149</v>
      </c>
      <c r="D23" s="1" t="s">
        <v>156</v>
      </c>
      <c r="E23" s="1" t="s">
        <v>15</v>
      </c>
      <c r="F23" s="1" t="s">
        <v>151</v>
      </c>
      <c r="G23" s="1" t="s">
        <v>157</v>
      </c>
      <c r="H23" s="1" t="s">
        <v>158</v>
      </c>
      <c r="I23" s="1" t="s">
        <v>159</v>
      </c>
      <c r="J23" s="1" t="s">
        <v>64</v>
      </c>
      <c r="K23" s="5" t="s">
        <v>14</v>
      </c>
      <c r="L23" s="5"/>
      <c r="M23" s="6"/>
      <c r="N23" s="5"/>
      <c r="O23" s="5"/>
      <c r="P23" s="5"/>
      <c r="Q23" s="5"/>
    </row>
    <row r="24" ht="57" customHeight="1" spans="1:17">
      <c r="A24" s="1" t="s">
        <v>160</v>
      </c>
      <c r="B24" s="1" t="s">
        <v>33</v>
      </c>
      <c r="C24" s="1" t="s">
        <v>149</v>
      </c>
      <c r="D24" s="1" t="s">
        <v>161</v>
      </c>
      <c r="E24" s="1" t="s">
        <v>15</v>
      </c>
      <c r="F24" s="1" t="s">
        <v>151</v>
      </c>
      <c r="G24" s="1" t="s">
        <v>162</v>
      </c>
      <c r="H24" s="1" t="s">
        <v>163</v>
      </c>
      <c r="I24" s="1" t="s">
        <v>164</v>
      </c>
      <c r="J24" s="1" t="s">
        <v>64</v>
      </c>
      <c r="K24" s="5" t="s">
        <v>14</v>
      </c>
      <c r="L24" s="5"/>
      <c r="M24" s="6"/>
      <c r="N24" s="5"/>
      <c r="O24" s="5"/>
      <c r="P24" s="5"/>
      <c r="Q24" s="5"/>
    </row>
    <row r="25" ht="57" customHeight="1" spans="1:17">
      <c r="A25" s="1" t="s">
        <v>165</v>
      </c>
      <c r="B25" s="1" t="s">
        <v>33</v>
      </c>
      <c r="C25" s="1" t="s">
        <v>149</v>
      </c>
      <c r="D25" s="1" t="s">
        <v>166</v>
      </c>
      <c r="E25" s="1" t="s">
        <v>15</v>
      </c>
      <c r="F25" s="1" t="s">
        <v>151</v>
      </c>
      <c r="G25" s="1" t="s">
        <v>167</v>
      </c>
      <c r="H25" s="1" t="s">
        <v>168</v>
      </c>
      <c r="I25" s="1" t="s">
        <v>169</v>
      </c>
      <c r="J25" s="1" t="s">
        <v>64</v>
      </c>
      <c r="K25" s="5" t="s">
        <v>14</v>
      </c>
      <c r="L25" s="5"/>
      <c r="M25" s="6"/>
      <c r="N25" s="5"/>
      <c r="O25" s="5"/>
      <c r="P25" s="5"/>
      <c r="Q25" s="5"/>
    </row>
    <row r="26" ht="57" customHeight="1" spans="1:17">
      <c r="A26" s="1" t="s">
        <v>170</v>
      </c>
      <c r="B26" s="1" t="s">
        <v>33</v>
      </c>
      <c r="C26" s="1" t="s">
        <v>149</v>
      </c>
      <c r="D26" s="1" t="s">
        <v>171</v>
      </c>
      <c r="E26" s="1" t="s">
        <v>11</v>
      </c>
      <c r="F26" s="1" t="s">
        <v>151</v>
      </c>
      <c r="G26" s="1" t="s">
        <v>172</v>
      </c>
      <c r="H26" s="1" t="s">
        <v>173</v>
      </c>
      <c r="I26" s="1" t="s">
        <v>174</v>
      </c>
      <c r="J26" s="1" t="s">
        <v>64</v>
      </c>
      <c r="K26" s="5" t="s">
        <v>14</v>
      </c>
      <c r="L26" s="5"/>
      <c r="M26" s="6"/>
      <c r="N26" s="5"/>
      <c r="O26" s="5"/>
      <c r="P26" s="5"/>
      <c r="Q26" s="5"/>
    </row>
    <row r="27" ht="57" customHeight="1" spans="1:17">
      <c r="A27" s="1" t="s">
        <v>175</v>
      </c>
      <c r="B27" s="1" t="s">
        <v>35</v>
      </c>
      <c r="C27" s="1" t="s">
        <v>176</v>
      </c>
      <c r="D27" s="1" t="s">
        <v>177</v>
      </c>
      <c r="E27" s="1" t="s">
        <v>11</v>
      </c>
      <c r="F27" s="1" t="s">
        <v>178</v>
      </c>
      <c r="G27" s="1" t="s">
        <v>179</v>
      </c>
      <c r="H27" s="1" t="s">
        <v>180</v>
      </c>
      <c r="I27" s="1" t="s">
        <v>181</v>
      </c>
      <c r="J27" s="1" t="s">
        <v>64</v>
      </c>
      <c r="K27" s="5" t="s">
        <v>14</v>
      </c>
      <c r="L27" s="5"/>
      <c r="M27" s="6"/>
      <c r="N27" s="5"/>
      <c r="O27" s="5"/>
      <c r="P27" s="5"/>
      <c r="Q27" s="5"/>
    </row>
    <row r="28" ht="57" customHeight="1" spans="1:17">
      <c r="A28" s="1" t="s">
        <v>182</v>
      </c>
      <c r="B28" s="1" t="s">
        <v>35</v>
      </c>
      <c r="C28" s="1" t="s">
        <v>176</v>
      </c>
      <c r="D28" s="1" t="s">
        <v>183</v>
      </c>
      <c r="E28" s="1" t="s">
        <v>11</v>
      </c>
      <c r="F28" s="1" t="s">
        <v>178</v>
      </c>
      <c r="G28" s="1" t="s">
        <v>184</v>
      </c>
      <c r="H28" s="1" t="s">
        <v>185</v>
      </c>
      <c r="I28" s="1" t="s">
        <v>186</v>
      </c>
      <c r="J28" s="1" t="s">
        <v>187</v>
      </c>
      <c r="K28" s="5" t="s">
        <v>14</v>
      </c>
      <c r="L28" s="5"/>
      <c r="M28" s="6"/>
      <c r="N28" s="5"/>
      <c r="O28" s="5"/>
      <c r="P28" s="5"/>
      <c r="Q28" s="5" t="s">
        <v>188</v>
      </c>
    </row>
    <row r="29" ht="57" customHeight="1" spans="1:17">
      <c r="A29" s="1" t="s">
        <v>189</v>
      </c>
      <c r="B29" s="1" t="s">
        <v>35</v>
      </c>
      <c r="C29" s="1" t="s">
        <v>176</v>
      </c>
      <c r="D29" s="1" t="s">
        <v>190</v>
      </c>
      <c r="E29" s="1" t="s">
        <v>15</v>
      </c>
      <c r="F29" s="1" t="s">
        <v>178</v>
      </c>
      <c r="G29" s="1" t="s">
        <v>191</v>
      </c>
      <c r="H29" s="1" t="s">
        <v>192</v>
      </c>
      <c r="I29" s="1" t="s">
        <v>193</v>
      </c>
      <c r="J29" s="1" t="s">
        <v>64</v>
      </c>
      <c r="K29" s="5" t="s">
        <v>14</v>
      </c>
      <c r="L29" s="5"/>
      <c r="M29" s="6"/>
      <c r="N29" s="5"/>
      <c r="O29" s="5"/>
      <c r="P29" s="5"/>
      <c r="Q29" s="5"/>
    </row>
    <row r="30" ht="57" customHeight="1" spans="1:17">
      <c r="A30" s="1" t="s">
        <v>194</v>
      </c>
      <c r="B30" s="1" t="s">
        <v>35</v>
      </c>
      <c r="C30" s="1" t="s">
        <v>176</v>
      </c>
      <c r="D30" s="1" t="s">
        <v>195</v>
      </c>
      <c r="E30" s="1" t="s">
        <v>15</v>
      </c>
      <c r="F30" s="1" t="s">
        <v>178</v>
      </c>
      <c r="G30" s="1" t="s">
        <v>196</v>
      </c>
      <c r="H30" s="1" t="s">
        <v>197</v>
      </c>
      <c r="I30" s="1" t="s">
        <v>198</v>
      </c>
      <c r="J30" s="1" t="s">
        <v>64</v>
      </c>
      <c r="K30" s="5" t="s">
        <v>14</v>
      </c>
      <c r="L30" s="5"/>
      <c r="M30" s="6"/>
      <c r="N30" s="5"/>
      <c r="O30" s="5"/>
      <c r="P30" s="5"/>
      <c r="Q30" s="5"/>
    </row>
    <row r="31" ht="72" customHeight="1" spans="1:17">
      <c r="A31" s="1" t="s">
        <v>199</v>
      </c>
      <c r="B31" s="1" t="s">
        <v>35</v>
      </c>
      <c r="C31" s="1" t="s">
        <v>176</v>
      </c>
      <c r="D31" s="1" t="s">
        <v>200</v>
      </c>
      <c r="E31" s="1" t="s">
        <v>15</v>
      </c>
      <c r="F31" s="1" t="s">
        <v>178</v>
      </c>
      <c r="G31" s="1" t="s">
        <v>201</v>
      </c>
      <c r="H31" s="1" t="s">
        <v>202</v>
      </c>
      <c r="I31" s="1" t="s">
        <v>203</v>
      </c>
      <c r="J31" s="1" t="s">
        <v>64</v>
      </c>
      <c r="K31" s="5" t="s">
        <v>14</v>
      </c>
      <c r="L31" s="5"/>
      <c r="M31" s="6"/>
      <c r="N31" s="5"/>
      <c r="O31" s="5"/>
      <c r="P31" s="5"/>
      <c r="Q31" s="5"/>
    </row>
    <row r="32" ht="57" customHeight="1" spans="1:17">
      <c r="A32" s="1" t="s">
        <v>204</v>
      </c>
      <c r="B32" s="1" t="s">
        <v>35</v>
      </c>
      <c r="C32" s="1" t="s">
        <v>176</v>
      </c>
      <c r="D32" s="1" t="s">
        <v>205</v>
      </c>
      <c r="E32" s="1" t="s">
        <v>15</v>
      </c>
      <c r="F32" s="1" t="s">
        <v>178</v>
      </c>
      <c r="G32" s="1" t="s">
        <v>206</v>
      </c>
      <c r="H32" s="1" t="s">
        <v>207</v>
      </c>
      <c r="I32" s="1" t="s">
        <v>208</v>
      </c>
      <c r="J32" s="1" t="s">
        <v>64</v>
      </c>
      <c r="K32" s="5" t="s">
        <v>14</v>
      </c>
      <c r="L32" s="5"/>
      <c r="M32" s="6"/>
      <c r="N32" s="5"/>
      <c r="O32" s="5"/>
      <c r="P32" s="5"/>
      <c r="Q32" s="5"/>
    </row>
    <row r="33" ht="57" customHeight="1" spans="1:17">
      <c r="A33" s="1" t="s">
        <v>209</v>
      </c>
      <c r="B33" s="1" t="s">
        <v>35</v>
      </c>
      <c r="C33" s="1" t="s">
        <v>176</v>
      </c>
      <c r="D33" s="1" t="s">
        <v>210</v>
      </c>
      <c r="E33" s="1" t="s">
        <v>15</v>
      </c>
      <c r="F33" s="1" t="s">
        <v>178</v>
      </c>
      <c r="G33" s="1" t="s">
        <v>211</v>
      </c>
      <c r="H33" s="1" t="s">
        <v>212</v>
      </c>
      <c r="I33" s="1" t="s">
        <v>213</v>
      </c>
      <c r="J33" s="1" t="s">
        <v>64</v>
      </c>
      <c r="K33" s="5" t="s">
        <v>14</v>
      </c>
      <c r="L33" s="5"/>
      <c r="M33" s="6"/>
      <c r="N33" s="5"/>
      <c r="O33" s="5"/>
      <c r="P33" s="5"/>
      <c r="Q33" s="5"/>
    </row>
    <row r="34" ht="72" customHeight="1" spans="1:17">
      <c r="A34" s="1" t="s">
        <v>214</v>
      </c>
      <c r="B34" s="1" t="s">
        <v>35</v>
      </c>
      <c r="C34" s="1" t="s">
        <v>215</v>
      </c>
      <c r="D34" s="1" t="s">
        <v>216</v>
      </c>
      <c r="E34" s="1" t="s">
        <v>11</v>
      </c>
      <c r="F34" s="1" t="s">
        <v>217</v>
      </c>
      <c r="G34" s="1" t="s">
        <v>218</v>
      </c>
      <c r="H34" s="1" t="s">
        <v>219</v>
      </c>
      <c r="I34" s="1" t="s">
        <v>220</v>
      </c>
      <c r="J34" s="1" t="s">
        <v>64</v>
      </c>
      <c r="K34" s="5" t="s">
        <v>14</v>
      </c>
      <c r="L34" s="5"/>
      <c r="M34" s="6"/>
      <c r="N34" s="5"/>
      <c r="O34" s="5"/>
      <c r="P34" s="5"/>
      <c r="Q34" s="5"/>
    </row>
    <row r="35" ht="57" customHeight="1" spans="1:17">
      <c r="A35" s="1" t="s">
        <v>221</v>
      </c>
      <c r="B35" s="1" t="s">
        <v>35</v>
      </c>
      <c r="C35" s="1" t="s">
        <v>215</v>
      </c>
      <c r="D35" s="1" t="s">
        <v>222</v>
      </c>
      <c r="E35" s="1" t="s">
        <v>15</v>
      </c>
      <c r="F35" s="1" t="s">
        <v>217</v>
      </c>
      <c r="G35" s="1" t="s">
        <v>223</v>
      </c>
      <c r="H35" s="1" t="s">
        <v>224</v>
      </c>
      <c r="I35" s="1" t="s">
        <v>225</v>
      </c>
      <c r="J35" s="1" t="s">
        <v>64</v>
      </c>
      <c r="K35" s="5" t="s">
        <v>14</v>
      </c>
      <c r="L35" s="5"/>
      <c r="M35" s="6"/>
      <c r="N35" s="5"/>
      <c r="O35" s="5"/>
      <c r="P35" s="5"/>
      <c r="Q35" s="5"/>
    </row>
    <row r="36" ht="57" customHeight="1" spans="1:17">
      <c r="A36" s="1" t="s">
        <v>226</v>
      </c>
      <c r="B36" s="1" t="s">
        <v>37</v>
      </c>
      <c r="C36" s="1" t="s">
        <v>227</v>
      </c>
      <c r="D36" s="1" t="s">
        <v>228</v>
      </c>
      <c r="E36" s="1" t="s">
        <v>11</v>
      </c>
      <c r="F36" s="1" t="s">
        <v>229</v>
      </c>
      <c r="G36" s="1" t="s">
        <v>230</v>
      </c>
      <c r="H36" s="1" t="s">
        <v>231</v>
      </c>
      <c r="I36" s="1" t="s">
        <v>232</v>
      </c>
      <c r="J36" s="1" t="s">
        <v>64</v>
      </c>
      <c r="K36" s="5" t="s">
        <v>14</v>
      </c>
      <c r="L36" s="5"/>
      <c r="M36" s="6"/>
      <c r="N36" s="5"/>
      <c r="O36" s="5"/>
      <c r="P36" s="5"/>
      <c r="Q36" s="5"/>
    </row>
    <row r="37" ht="57" customHeight="1" spans="1:17">
      <c r="A37" s="1" t="s">
        <v>233</v>
      </c>
      <c r="B37" s="1" t="s">
        <v>37</v>
      </c>
      <c r="C37" s="1" t="s">
        <v>227</v>
      </c>
      <c r="D37" s="1" t="s">
        <v>234</v>
      </c>
      <c r="E37" s="1" t="s">
        <v>11</v>
      </c>
      <c r="F37" s="1" t="s">
        <v>229</v>
      </c>
      <c r="G37" s="1" t="s">
        <v>235</v>
      </c>
      <c r="H37" s="1" t="s">
        <v>236</v>
      </c>
      <c r="I37" s="1" t="s">
        <v>237</v>
      </c>
      <c r="J37" s="1" t="s">
        <v>64</v>
      </c>
      <c r="K37" s="5" t="s">
        <v>14</v>
      </c>
      <c r="L37" s="5"/>
      <c r="M37" s="6"/>
      <c r="N37" s="5"/>
      <c r="O37" s="5"/>
      <c r="P37" s="5"/>
      <c r="Q37" s="5"/>
    </row>
    <row r="38" ht="42" customHeight="1" spans="1:17">
      <c r="A38" s="1" t="s">
        <v>238</v>
      </c>
      <c r="B38" s="1" t="s">
        <v>37</v>
      </c>
      <c r="C38" s="1" t="s">
        <v>227</v>
      </c>
      <c r="D38" s="1" t="s">
        <v>239</v>
      </c>
      <c r="E38" s="1" t="s">
        <v>15</v>
      </c>
      <c r="F38" s="1" t="s">
        <v>229</v>
      </c>
      <c r="G38" s="1" t="s">
        <v>240</v>
      </c>
      <c r="H38" s="1" t="s">
        <v>241</v>
      </c>
      <c r="I38" s="1" t="s">
        <v>242</v>
      </c>
      <c r="J38" s="1" t="s">
        <v>64</v>
      </c>
      <c r="K38" s="5" t="s">
        <v>14</v>
      </c>
      <c r="L38" s="5"/>
      <c r="M38" s="6"/>
      <c r="N38" s="5"/>
      <c r="O38" s="5"/>
      <c r="P38" s="5"/>
      <c r="Q38" s="5"/>
    </row>
    <row r="39" ht="57" customHeight="1" spans="1:17">
      <c r="A39" s="1" t="s">
        <v>243</v>
      </c>
      <c r="B39" s="1" t="s">
        <v>37</v>
      </c>
      <c r="C39" s="1" t="s">
        <v>227</v>
      </c>
      <c r="D39" s="1" t="s">
        <v>244</v>
      </c>
      <c r="E39" s="1" t="s">
        <v>15</v>
      </c>
      <c r="F39" s="1" t="s">
        <v>229</v>
      </c>
      <c r="G39" s="1" t="s">
        <v>245</v>
      </c>
      <c r="H39" s="1" t="s">
        <v>246</v>
      </c>
      <c r="I39" s="1" t="s">
        <v>247</v>
      </c>
      <c r="J39" s="1" t="s">
        <v>248</v>
      </c>
      <c r="K39" s="5" t="s">
        <v>14</v>
      </c>
      <c r="L39" s="5"/>
      <c r="M39" s="6"/>
      <c r="N39" s="5"/>
      <c r="O39" s="5"/>
      <c r="P39" s="5"/>
      <c r="Q39" s="5"/>
    </row>
    <row r="40" ht="57" customHeight="1" spans="1:17">
      <c r="A40" s="1" t="s">
        <v>249</v>
      </c>
      <c r="B40" s="1" t="s">
        <v>37</v>
      </c>
      <c r="C40" s="1" t="s">
        <v>250</v>
      </c>
      <c r="D40" s="1" t="s">
        <v>251</v>
      </c>
      <c r="E40" s="1" t="s">
        <v>11</v>
      </c>
      <c r="F40" s="1" t="s">
        <v>252</v>
      </c>
      <c r="G40" s="1" t="s">
        <v>253</v>
      </c>
      <c r="H40" s="1" t="s">
        <v>254</v>
      </c>
      <c r="I40" s="1" t="s">
        <v>255</v>
      </c>
      <c r="J40" s="1" t="s">
        <v>256</v>
      </c>
      <c r="K40" s="5" t="s">
        <v>14</v>
      </c>
      <c r="L40" s="5"/>
      <c r="M40" s="6"/>
      <c r="N40" s="5"/>
      <c r="O40" s="5"/>
      <c r="P40" s="5"/>
      <c r="Q40" s="5"/>
    </row>
    <row r="41" ht="57" customHeight="1" spans="1:17">
      <c r="A41" s="1" t="s">
        <v>257</v>
      </c>
      <c r="B41" s="1" t="s">
        <v>37</v>
      </c>
      <c r="C41" s="1" t="s">
        <v>250</v>
      </c>
      <c r="D41" s="1" t="s">
        <v>258</v>
      </c>
      <c r="E41" s="1" t="s">
        <v>11</v>
      </c>
      <c r="F41" s="1" t="s">
        <v>252</v>
      </c>
      <c r="G41" s="1" t="s">
        <v>259</v>
      </c>
      <c r="H41" s="1" t="s">
        <v>260</v>
      </c>
      <c r="I41" s="1" t="s">
        <v>261</v>
      </c>
      <c r="J41" s="1" t="s">
        <v>64</v>
      </c>
      <c r="K41" s="5" t="s">
        <v>14</v>
      </c>
      <c r="L41" s="5"/>
      <c r="M41" s="6"/>
      <c r="N41" s="5"/>
      <c r="O41" s="5"/>
      <c r="P41" s="5"/>
      <c r="Q41" s="5"/>
    </row>
    <row r="42" ht="57" customHeight="1" spans="1:17">
      <c r="A42" s="1" t="s">
        <v>262</v>
      </c>
      <c r="B42" s="1" t="s">
        <v>37</v>
      </c>
      <c r="C42" s="1" t="s">
        <v>250</v>
      </c>
      <c r="D42" s="1" t="s">
        <v>263</v>
      </c>
      <c r="E42" s="1" t="s">
        <v>11</v>
      </c>
      <c r="F42" s="1" t="s">
        <v>252</v>
      </c>
      <c r="G42" s="1" t="s">
        <v>264</v>
      </c>
      <c r="H42" s="1" t="s">
        <v>265</v>
      </c>
      <c r="I42" s="1" t="s">
        <v>266</v>
      </c>
      <c r="J42" s="1" t="s">
        <v>64</v>
      </c>
      <c r="K42" s="5" t="s">
        <v>14</v>
      </c>
      <c r="L42" s="5"/>
      <c r="M42" s="6"/>
      <c r="N42" s="5"/>
      <c r="O42" s="5"/>
      <c r="P42" s="5"/>
      <c r="Q42" s="5"/>
    </row>
    <row r="43" ht="72" customHeight="1" spans="1:17">
      <c r="A43" s="1" t="s">
        <v>267</v>
      </c>
      <c r="B43" s="1" t="s">
        <v>37</v>
      </c>
      <c r="C43" s="1" t="s">
        <v>250</v>
      </c>
      <c r="D43" s="1" t="s">
        <v>268</v>
      </c>
      <c r="E43" s="1" t="s">
        <v>11</v>
      </c>
      <c r="F43" s="1" t="s">
        <v>252</v>
      </c>
      <c r="G43" s="1" t="s">
        <v>269</v>
      </c>
      <c r="H43" s="1" t="s">
        <v>270</v>
      </c>
      <c r="I43" s="1" t="s">
        <v>271</v>
      </c>
      <c r="J43" s="1" t="s">
        <v>64</v>
      </c>
      <c r="K43" s="5" t="s">
        <v>14</v>
      </c>
      <c r="L43" s="5"/>
      <c r="M43" s="6"/>
      <c r="N43" s="5"/>
      <c r="O43" s="5"/>
      <c r="P43" s="5"/>
      <c r="Q43" s="5"/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56905E82-296A-4A9A-95F7-9A9F4ADE6D1C}" filter="1" showAutoFilter="1">
      <autoFilter ref="A5:Q43"/>
    </customSheetView>
  </customSheetViews>
  <conditionalFormatting sqref="K6:K43">
    <cfRule type="containsText" dxfId="17" priority="1" operator="between" text="Fail">
      <formula>NOT(ISERROR(SEARCH("Fail",K6)))</formula>
    </cfRule>
    <cfRule type="containsText" dxfId="18" priority="2" operator="between" text="Blocked">
      <formula>NOT(ISERROR(SEARCH("Blocked",K6)))</formula>
    </cfRule>
    <cfRule type="containsText" dxfId="19" priority="3" operator="between" text="Pass">
      <formula>NOT(ISERROR(SEARCH("Pass",K6)))</formula>
    </cfRule>
  </conditionalFormatting>
  <dataValidations count="1">
    <dataValidation type="list" allowBlank="1" sqref="K6:K43">
      <formula1>"Not Run,Pass,Fail,Blocked,N/A"</formula1>
    </dataValidation>
  </dataValidations>
  <pageMargins left="0.7" right="0.7" top="0.75" bottom="0.75" header="0" footer="0"/>
  <pageSetup paperSize="1" orientation="landscape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00"/>
  <sheetViews>
    <sheetView showGridLines="0" workbookViewId="0">
      <pane ySplit="5" topLeftCell="A6" activePane="bottomLeft" state="frozen"/>
      <selection/>
      <selection pane="bottomLeft" activeCell="B7" sqref="B7"/>
    </sheetView>
  </sheetViews>
  <sheetFormatPr defaultColWidth="12.6333333333333" defaultRowHeight="15" customHeight="1" outlineLevelCol="3"/>
  <cols>
    <col min="1" max="1" width="16" customWidth="1"/>
    <col min="2" max="2" width="28" customWidth="1"/>
    <col min="3" max="3" width="88" customWidth="1"/>
    <col min="4" max="4" width="58" customWidth="1"/>
    <col min="5" max="26" width="8.63333333333333" customWidth="1"/>
  </cols>
  <sheetData>
    <row r="1" ht="13.8" spans="1:4">
      <c r="A1" s="1"/>
      <c r="B1" s="1"/>
      <c r="C1" s="1"/>
      <c r="D1" s="1"/>
    </row>
    <row r="2" ht="27.75" customHeight="1" spans="1:4">
      <c r="A2" s="2" t="s">
        <v>272</v>
      </c>
      <c r="B2" s="1"/>
      <c r="C2" s="1"/>
      <c r="D2" s="1"/>
    </row>
    <row r="3" ht="13.8" spans="1:4">
      <c r="A3" s="3" t="s">
        <v>273</v>
      </c>
      <c r="B3" s="1"/>
      <c r="C3" s="1"/>
      <c r="D3" s="1"/>
    </row>
    <row r="4" ht="13.8" spans="1:4">
      <c r="A4" s="1"/>
      <c r="B4" s="1"/>
      <c r="C4" s="1"/>
      <c r="D4" s="1"/>
    </row>
    <row r="5" ht="33.75" customHeight="1" spans="1:4">
      <c r="A5" s="4" t="s">
        <v>274</v>
      </c>
      <c r="B5" s="4" t="s">
        <v>275</v>
      </c>
      <c r="C5" s="4" t="s">
        <v>276</v>
      </c>
      <c r="D5" s="4" t="s">
        <v>277</v>
      </c>
    </row>
    <row r="6" ht="31.5" customHeight="1" spans="1:4">
      <c r="A6" s="1" t="s">
        <v>278</v>
      </c>
      <c r="B6" s="1" t="s">
        <v>279</v>
      </c>
      <c r="C6" s="1" t="s">
        <v>280</v>
      </c>
      <c r="D6" s="5"/>
    </row>
    <row r="7" ht="31.5" customHeight="1" spans="1:4">
      <c r="A7" s="1" t="s">
        <v>278</v>
      </c>
      <c r="B7" s="1" t="s">
        <v>281</v>
      </c>
      <c r="C7" s="1" t="s">
        <v>282</v>
      </c>
      <c r="D7" s="5"/>
    </row>
    <row r="8" ht="31.5" customHeight="1" spans="1:4">
      <c r="A8" s="1" t="s">
        <v>278</v>
      </c>
      <c r="B8" s="1" t="s">
        <v>283</v>
      </c>
      <c r="C8" s="1" t="s">
        <v>284</v>
      </c>
      <c r="D8" s="5"/>
    </row>
    <row r="9" ht="31.5" customHeight="1" spans="1:4">
      <c r="A9" s="1" t="s">
        <v>278</v>
      </c>
      <c r="B9" s="1" t="s">
        <v>53</v>
      </c>
      <c r="C9" s="1" t="s">
        <v>285</v>
      </c>
      <c r="D9" s="5"/>
    </row>
    <row r="10" ht="31.5" customHeight="1" spans="1:4">
      <c r="A10" s="1" t="s">
        <v>278</v>
      </c>
      <c r="B10" s="1" t="s">
        <v>286</v>
      </c>
      <c r="C10" s="1" t="s">
        <v>287</v>
      </c>
      <c r="D10" s="5"/>
    </row>
    <row r="11" ht="42" customHeight="1" spans="1:4">
      <c r="A11" s="1" t="s">
        <v>288</v>
      </c>
      <c r="B11" s="1" t="s">
        <v>289</v>
      </c>
      <c r="C11" s="1" t="s">
        <v>290</v>
      </c>
      <c r="D11" s="5"/>
    </row>
    <row r="12" ht="31.5" customHeight="1" spans="1:4">
      <c r="A12" s="1" t="s">
        <v>291</v>
      </c>
      <c r="B12" s="1" t="s">
        <v>292</v>
      </c>
      <c r="C12" s="1" t="s">
        <v>293</v>
      </c>
      <c r="D12" s="5"/>
    </row>
    <row r="13" ht="31.5" customHeight="1" spans="1:4">
      <c r="A13" s="1" t="s">
        <v>294</v>
      </c>
      <c r="B13" s="1" t="s">
        <v>295</v>
      </c>
      <c r="C13" s="1" t="s">
        <v>296</v>
      </c>
      <c r="D13" s="5"/>
    </row>
    <row r="14" ht="31.5" customHeight="1" spans="1:4">
      <c r="A14" s="1" t="s">
        <v>297</v>
      </c>
      <c r="B14" s="1" t="s">
        <v>298</v>
      </c>
      <c r="C14" s="1" t="s">
        <v>299</v>
      </c>
      <c r="D14" s="5"/>
    </row>
    <row r="18" ht="17.4" spans="1:3">
      <c r="A18" s="7"/>
    </row>
    <row r="20" ht="43.5" customHeight="1" spans="1:3">
      <c r="B20" s="1"/>
      <c r="C20" s="1"/>
    </row>
    <row r="21" ht="43.5" customHeight="1" spans="1:3">
      <c r="B21" s="1"/>
      <c r="C21" s="1"/>
    </row>
    <row r="22" ht="43.5" customHeight="1" spans="1:3">
      <c r="B22" s="1"/>
      <c r="C22" s="1"/>
    </row>
    <row r="23" ht="43.5" customHeight="1" spans="1:3">
      <c r="B23" s="1"/>
      <c r="C23" s="1"/>
    </row>
    <row r="24" ht="43.5" customHeight="1" spans="1:3">
      <c r="B24" s="1"/>
      <c r="C24" s="1"/>
    </row>
    <row r="25" ht="43.5" customHeight="1" spans="1:3">
      <c r="B25" s="1"/>
      <c r="C25" s="1"/>
    </row>
    <row r="26" ht="43.5" customHeight="1" spans="1:3">
      <c r="B26" s="1"/>
      <c r="C26" s="1"/>
    </row>
    <row r="27" ht="43.5" customHeight="1" spans="1:3">
      <c r="B27" s="1"/>
      <c r="C27" s="1"/>
    </row>
    <row r="28" ht="43.5" customHeight="1" spans="1:3">
      <c r="B28" s="1"/>
      <c r="C28" s="1"/>
    </row>
    <row r="29" ht="43.5" customHeight="1" spans="1:3">
      <c r="B29" s="1"/>
      <c r="C29" s="1"/>
    </row>
    <row r="30" ht="43.5" customHeight="1" spans="1:3">
      <c r="B30" s="1"/>
      <c r="C30" s="1"/>
    </row>
    <row r="31" ht="43.5" customHeight="1" spans="1:3">
      <c r="B31" s="1"/>
      <c r="C31" s="1"/>
    </row>
    <row r="32" ht="43.5" customHeight="1" spans="1:3">
      <c r="B32" s="1"/>
      <c r="C32" s="1"/>
    </row>
    <row r="33" ht="43.5" customHeight="1" spans="2:3">
      <c r="B33" s="1"/>
      <c r="C33" s="1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5E9FC269-2785-4EBC-ADF3-02474E9CBB7D}" filter="1" showAutoFilter="1">
      <autoFilter ref="A5:D14"/>
    </customSheetView>
  </customSheetViews>
  <pageMargins left="0.7" right="0.7" top="0.75" bottom="0.75" header="0" footer="0"/>
  <pageSetup paperSize="1" orientation="landscape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000"/>
  <sheetViews>
    <sheetView showGridLines="0" workbookViewId="0">
      <pane ySplit="5" topLeftCell="A6" activePane="bottomLeft" state="frozen"/>
      <selection/>
      <selection pane="bottomLeft" activeCell="B7" sqref="B7"/>
    </sheetView>
  </sheetViews>
  <sheetFormatPr defaultColWidth="12.6333333333333" defaultRowHeight="15" customHeight="1"/>
  <cols>
    <col min="1" max="1" width="18" customWidth="1"/>
    <col min="2" max="2" width="20" customWidth="1"/>
    <col min="3" max="3" width="34" customWidth="1"/>
    <col min="4" max="4" width="18" customWidth="1"/>
    <col min="5" max="5" width="58" customWidth="1"/>
    <col min="6" max="7" width="45" customWidth="1"/>
    <col min="8" max="8" width="20" customWidth="1"/>
    <col min="9" max="9" width="30" customWidth="1"/>
    <col min="10" max="11" width="24" customWidth="1"/>
    <col min="12" max="12" width="20" customWidth="1"/>
    <col min="13" max="13" width="18" customWidth="1"/>
    <col min="14" max="14" width="32" customWidth="1"/>
    <col min="15" max="15" width="40" customWidth="1"/>
    <col min="16" max="26" width="8.63333333333333" customWidth="1"/>
  </cols>
  <sheetData>
    <row r="1" ht="13.8" spans="1:1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7.75" customHeight="1" spans="1:15">
      <c r="A2" s="2" t="s">
        <v>300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ht="13.8" spans="1:15">
      <c r="A3" s="3" t="s">
        <v>301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ht="13.8" spans="1:1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ht="33.75" customHeight="1" spans="1:15">
      <c r="A5" s="4" t="s">
        <v>55</v>
      </c>
      <c r="B5" s="4" t="s">
        <v>302</v>
      </c>
      <c r="C5" s="4" t="s">
        <v>303</v>
      </c>
      <c r="D5" s="4" t="s">
        <v>304</v>
      </c>
      <c r="E5" s="4" t="s">
        <v>305</v>
      </c>
      <c r="F5" s="4" t="s">
        <v>306</v>
      </c>
      <c r="G5" s="4" t="s">
        <v>307</v>
      </c>
      <c r="H5" s="4" t="s">
        <v>308</v>
      </c>
      <c r="I5" s="4" t="s">
        <v>54</v>
      </c>
      <c r="J5" s="4" t="s">
        <v>309</v>
      </c>
      <c r="K5" s="4" t="s">
        <v>310</v>
      </c>
      <c r="L5" s="4" t="s">
        <v>311</v>
      </c>
      <c r="M5" s="4" t="s">
        <v>312</v>
      </c>
      <c r="N5" s="4" t="s">
        <v>313</v>
      </c>
      <c r="O5" s="4" t="s">
        <v>314</v>
      </c>
    </row>
    <row r="6" ht="69.75" customHeight="1" spans="1:1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6"/>
      <c r="N6" s="5"/>
      <c r="O6" s="5"/>
    </row>
    <row r="7" ht="69.75" customHeight="1" spans="1:1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6"/>
      <c r="N7" s="5"/>
      <c r="O7" s="5"/>
    </row>
    <row r="8" ht="69.75" customHeight="1" spans="1:1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6"/>
      <c r="N8" s="5"/>
      <c r="O8" s="5"/>
    </row>
    <row r="9" ht="69.75" customHeight="1" spans="1:1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6"/>
      <c r="N9" s="5"/>
      <c r="O9" s="5"/>
    </row>
    <row r="10" ht="69.75" customHeight="1" spans="1:1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6"/>
      <c r="N10" s="5"/>
      <c r="O10" s="5"/>
    </row>
    <row r="11" ht="69.75" customHeight="1" spans="1:1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6"/>
      <c r="N11" s="5"/>
      <c r="O11" s="5"/>
    </row>
    <row r="12" ht="69.75" customHeight="1" spans="1:1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6"/>
      <c r="N12" s="5"/>
      <c r="O12" s="5"/>
    </row>
    <row r="13" ht="69.75" customHeight="1" spans="1:1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6"/>
      <c r="N13" s="5"/>
      <c r="O13" s="5"/>
    </row>
    <row r="14" ht="69.75" customHeight="1" spans="1:1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6"/>
      <c r="N14" s="5"/>
      <c r="O14" s="5"/>
    </row>
    <row r="15" ht="69.75" customHeight="1" spans="1: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6"/>
      <c r="N15" s="5"/>
      <c r="O15" s="5"/>
    </row>
    <row r="16" ht="69.75" customHeight="1" spans="1:1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6"/>
      <c r="N16" s="5"/>
      <c r="O16" s="5"/>
    </row>
    <row r="17" ht="69.75" customHeight="1" spans="1:1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6"/>
      <c r="N17" s="5"/>
      <c r="O17" s="5"/>
    </row>
    <row r="18" ht="69.75" customHeight="1" spans="1:1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6"/>
      <c r="N18" s="5"/>
      <c r="O18" s="5"/>
    </row>
    <row r="19" ht="69.75" customHeight="1" spans="1:1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6"/>
      <c r="N19" s="5"/>
      <c r="O19" s="5"/>
    </row>
    <row r="20" ht="69.75" customHeight="1" spans="1:1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6"/>
      <c r="N20" s="5"/>
      <c r="O20" s="5"/>
    </row>
    <row r="21" ht="69.75" customHeight="1" spans="1:1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6"/>
      <c r="N21" s="5"/>
      <c r="O21" s="5"/>
    </row>
    <row r="22" ht="69.75" customHeight="1" spans="1:1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6"/>
      <c r="N22" s="5"/>
      <c r="O22" s="5"/>
    </row>
    <row r="23" ht="69.75" customHeight="1" spans="1:1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6"/>
      <c r="N23" s="5"/>
      <c r="O23" s="5"/>
    </row>
    <row r="24" ht="69.75" customHeight="1" spans="1:1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6"/>
      <c r="N24" s="5"/>
      <c r="O24" s="5"/>
    </row>
    <row r="25" ht="69.75" customHeight="1" spans="1:1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6"/>
      <c r="N25" s="5"/>
      <c r="O25" s="5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949BE98B-432A-4595-9FAF-B1777F4CACCE}" filter="1" showAutoFilter="1">
      <autoFilter ref="A5:O25"/>
    </customSheetView>
  </customSheetViews>
  <dataValidations count="2">
    <dataValidation type="list" allowBlank="1" sqref="D6:D25">
      <formula1>"Nghiêm trọng,Lớn,Vừa,Nhỏ"</formula1>
    </dataValidation>
    <dataValidation type="list" allowBlank="1" sqref="K6:K25">
      <formula1>"Mới,Đã xác nhận,Đang sửa,Chờ kiểm thử lại,Đóng,Mở lại"</formula1>
    </dataValidation>
  </dataValidations>
  <pageMargins left="0.7" right="0.7" top="0.75" bottom="0.75" header="0" footer="0"/>
  <pageSetup paperSize="1" orientation="landscape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00"/>
  <sheetViews>
    <sheetView showGridLines="0" workbookViewId="0">
      <pane ySplit="5" topLeftCell="A6" activePane="bottomLeft" state="frozen"/>
      <selection/>
      <selection pane="bottomLeft" activeCell="B7" sqref="B7"/>
    </sheetView>
  </sheetViews>
  <sheetFormatPr defaultColWidth="12.6333333333333" defaultRowHeight="15" customHeight="1"/>
  <cols>
    <col min="1" max="1" width="16" customWidth="1"/>
    <col min="2" max="2" width="19" customWidth="1"/>
    <col min="3" max="3" width="25" customWidth="1"/>
    <col min="4" max="4" width="20" customWidth="1"/>
    <col min="5" max="5" width="22" customWidth="1"/>
    <col min="6" max="6" width="40" customWidth="1"/>
    <col min="7" max="7" width="16" customWidth="1"/>
    <col min="8" max="8" width="60" customWidth="1"/>
    <col min="9" max="9" width="34" customWidth="1"/>
    <col min="10" max="10" width="20" customWidth="1"/>
    <col min="11" max="11" width="45" customWidth="1"/>
    <col min="12" max="26" width="8.63333333333333" customWidth="1"/>
  </cols>
  <sheetData>
    <row r="1" ht="13.8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ht="27.75" customHeight="1" spans="1:11">
      <c r="A2" s="2" t="s">
        <v>315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ht="13.8" spans="1:11">
      <c r="A3" s="3" t="s">
        <v>316</v>
      </c>
      <c r="B3" s="1"/>
      <c r="C3" s="1"/>
      <c r="D3" s="1"/>
      <c r="E3" s="1"/>
      <c r="F3" s="1"/>
      <c r="G3" s="1"/>
      <c r="H3" s="1"/>
      <c r="I3" s="1"/>
      <c r="J3" s="1"/>
      <c r="K3" s="1"/>
    </row>
    <row r="4" ht="13.8" spans="1:11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ht="33.75" customHeight="1" spans="1:11">
      <c r="A5" s="4" t="s">
        <v>317</v>
      </c>
      <c r="B5" s="4" t="s">
        <v>41</v>
      </c>
      <c r="C5" s="4" t="s">
        <v>318</v>
      </c>
      <c r="D5" s="4" t="s">
        <v>319</v>
      </c>
      <c r="E5" s="4" t="s">
        <v>53</v>
      </c>
      <c r="F5" s="4" t="s">
        <v>320</v>
      </c>
      <c r="G5" s="4" t="s">
        <v>50</v>
      </c>
      <c r="H5" s="4" t="s">
        <v>51</v>
      </c>
      <c r="I5" s="4" t="s">
        <v>54</v>
      </c>
      <c r="J5" s="4" t="s">
        <v>55</v>
      </c>
      <c r="K5" s="4" t="s">
        <v>314</v>
      </c>
    </row>
    <row r="6" ht="69.75" customHeight="1" spans="1:11">
      <c r="A6" s="5"/>
      <c r="B6" s="5"/>
      <c r="C6" s="5"/>
      <c r="D6" s="6"/>
      <c r="E6" s="5"/>
      <c r="F6" s="5"/>
      <c r="G6" s="5"/>
      <c r="H6" s="5"/>
      <c r="I6" s="5"/>
      <c r="J6" s="5"/>
      <c r="K6" s="5"/>
    </row>
    <row r="7" ht="69.75" customHeight="1" spans="1:11">
      <c r="A7" s="5"/>
      <c r="B7" s="5"/>
      <c r="C7" s="5"/>
      <c r="D7" s="6"/>
      <c r="E7" s="5"/>
      <c r="F7" s="5"/>
      <c r="G7" s="5"/>
      <c r="H7" s="5"/>
      <c r="I7" s="5"/>
      <c r="J7" s="5"/>
      <c r="K7" s="5"/>
    </row>
    <row r="8" ht="69.75" customHeight="1" spans="1:11">
      <c r="A8" s="5"/>
      <c r="B8" s="5"/>
      <c r="C8" s="5"/>
      <c r="D8" s="6"/>
      <c r="E8" s="5"/>
      <c r="F8" s="5"/>
      <c r="G8" s="5"/>
      <c r="H8" s="5"/>
      <c r="I8" s="5"/>
      <c r="J8" s="5"/>
      <c r="K8" s="5"/>
    </row>
    <row r="9" ht="69.75" customHeight="1" spans="1:11">
      <c r="A9" s="5"/>
      <c r="B9" s="5"/>
      <c r="C9" s="5"/>
      <c r="D9" s="6"/>
      <c r="E9" s="5"/>
      <c r="F9" s="5"/>
      <c r="G9" s="5"/>
      <c r="H9" s="5"/>
      <c r="I9" s="5"/>
      <c r="J9" s="5"/>
      <c r="K9" s="5"/>
    </row>
    <row r="10" ht="69.75" customHeight="1" spans="1:11">
      <c r="A10" s="5"/>
      <c r="B10" s="5"/>
      <c r="C10" s="5"/>
      <c r="D10" s="6"/>
      <c r="E10" s="5"/>
      <c r="F10" s="5"/>
      <c r="G10" s="5"/>
      <c r="H10" s="5"/>
      <c r="I10" s="5"/>
      <c r="J10" s="5"/>
      <c r="K10" s="5"/>
    </row>
    <row r="11" ht="69.75" customHeight="1" spans="1:11">
      <c r="A11" s="5"/>
      <c r="B11" s="5"/>
      <c r="C11" s="5"/>
      <c r="D11" s="6"/>
      <c r="E11" s="5"/>
      <c r="F11" s="5"/>
      <c r="G11" s="5"/>
      <c r="H11" s="5"/>
      <c r="I11" s="5"/>
      <c r="J11" s="5"/>
      <c r="K11" s="5"/>
    </row>
    <row r="12" ht="69.75" customHeight="1" spans="1:11">
      <c r="A12" s="5"/>
      <c r="B12" s="5"/>
      <c r="C12" s="5"/>
      <c r="D12" s="6"/>
      <c r="E12" s="5"/>
      <c r="F12" s="5"/>
      <c r="G12" s="5"/>
      <c r="H12" s="5"/>
      <c r="I12" s="5"/>
      <c r="J12" s="5"/>
      <c r="K12" s="5"/>
    </row>
    <row r="13" ht="69.75" customHeight="1" spans="1:11">
      <c r="A13" s="5"/>
      <c r="B13" s="5"/>
      <c r="C13" s="5"/>
      <c r="D13" s="6"/>
      <c r="E13" s="5"/>
      <c r="F13" s="5"/>
      <c r="G13" s="5"/>
      <c r="H13" s="5"/>
      <c r="I13" s="5"/>
      <c r="J13" s="5"/>
      <c r="K13" s="5"/>
    </row>
    <row r="14" ht="69.75" customHeight="1" spans="1:11">
      <c r="A14" s="5"/>
      <c r="B14" s="5"/>
      <c r="C14" s="5"/>
      <c r="D14" s="6"/>
      <c r="E14" s="5"/>
      <c r="F14" s="5"/>
      <c r="G14" s="5"/>
      <c r="H14" s="5"/>
      <c r="I14" s="5"/>
      <c r="J14" s="5"/>
      <c r="K14" s="5"/>
    </row>
    <row r="15" ht="69.75" customHeight="1" spans="1:11">
      <c r="A15" s="5"/>
      <c r="B15" s="5"/>
      <c r="C15" s="5"/>
      <c r="D15" s="6"/>
      <c r="E15" s="5"/>
      <c r="F15" s="5"/>
      <c r="G15" s="5"/>
      <c r="H15" s="5"/>
      <c r="I15" s="5"/>
      <c r="J15" s="5"/>
      <c r="K15" s="5"/>
    </row>
    <row r="16" ht="69.75" customHeight="1" spans="1:11">
      <c r="A16" s="5"/>
      <c r="B16" s="5"/>
      <c r="C16" s="5"/>
      <c r="D16" s="6"/>
      <c r="E16" s="5"/>
      <c r="F16" s="5"/>
      <c r="G16" s="5"/>
      <c r="H16" s="5"/>
      <c r="I16" s="5"/>
      <c r="J16" s="5"/>
      <c r="K16" s="5"/>
    </row>
    <row r="17" ht="69.75" customHeight="1" spans="1:11">
      <c r="A17" s="5"/>
      <c r="B17" s="5"/>
      <c r="C17" s="5"/>
      <c r="D17" s="6"/>
      <c r="E17" s="5"/>
      <c r="F17" s="5"/>
      <c r="G17" s="5"/>
      <c r="H17" s="5"/>
      <c r="I17" s="5"/>
      <c r="J17" s="5"/>
      <c r="K17" s="5"/>
    </row>
    <row r="18" ht="69.75" customHeight="1" spans="1:11">
      <c r="A18" s="5"/>
      <c r="B18" s="5"/>
      <c r="C18" s="5"/>
      <c r="D18" s="6"/>
      <c r="E18" s="5"/>
      <c r="F18" s="5"/>
      <c r="G18" s="5"/>
      <c r="H18" s="5"/>
      <c r="I18" s="5"/>
      <c r="J18" s="5"/>
      <c r="K18" s="5"/>
    </row>
    <row r="19" ht="69.75" customHeight="1" spans="1:11">
      <c r="A19" s="5"/>
      <c r="B19" s="5"/>
      <c r="C19" s="5"/>
      <c r="D19" s="6"/>
      <c r="E19" s="5"/>
      <c r="F19" s="5"/>
      <c r="G19" s="5"/>
      <c r="H19" s="5"/>
      <c r="I19" s="5"/>
      <c r="J19" s="5"/>
      <c r="K19" s="5"/>
    </row>
    <row r="20" ht="69.75" customHeight="1" spans="1:11">
      <c r="A20" s="5"/>
      <c r="B20" s="5"/>
      <c r="C20" s="5"/>
      <c r="D20" s="6"/>
      <c r="E20" s="5"/>
      <c r="F20" s="5"/>
      <c r="G20" s="5"/>
      <c r="H20" s="5"/>
      <c r="I20" s="5"/>
      <c r="J20" s="5"/>
      <c r="K20" s="5"/>
    </row>
    <row r="21" ht="69.75" customHeight="1" spans="1:11">
      <c r="A21" s="5"/>
      <c r="B21" s="5"/>
      <c r="C21" s="5"/>
      <c r="D21" s="6"/>
      <c r="E21" s="5"/>
      <c r="F21" s="5"/>
      <c r="G21" s="5"/>
      <c r="H21" s="5"/>
      <c r="I21" s="5"/>
      <c r="J21" s="5"/>
      <c r="K21" s="5"/>
    </row>
    <row r="22" ht="69.75" customHeight="1" spans="1:11">
      <c r="A22" s="5"/>
      <c r="B22" s="5"/>
      <c r="C22" s="5"/>
      <c r="D22" s="6"/>
      <c r="E22" s="5"/>
      <c r="F22" s="5"/>
      <c r="G22" s="5"/>
      <c r="H22" s="5"/>
      <c r="I22" s="5"/>
      <c r="J22" s="5"/>
      <c r="K22" s="5"/>
    </row>
    <row r="23" ht="69.75" customHeight="1" spans="1:11">
      <c r="A23" s="5"/>
      <c r="B23" s="5"/>
      <c r="C23" s="5"/>
      <c r="D23" s="6"/>
      <c r="E23" s="5"/>
      <c r="F23" s="5"/>
      <c r="G23" s="5"/>
      <c r="H23" s="5"/>
      <c r="I23" s="5"/>
      <c r="J23" s="5"/>
      <c r="K23" s="5"/>
    </row>
    <row r="24" ht="69.75" customHeight="1" spans="1:11">
      <c r="A24" s="5"/>
      <c r="B24" s="5"/>
      <c r="C24" s="5"/>
      <c r="D24" s="6"/>
      <c r="E24" s="5"/>
      <c r="F24" s="5"/>
      <c r="G24" s="5"/>
      <c r="H24" s="5"/>
      <c r="I24" s="5"/>
      <c r="J24" s="5"/>
      <c r="K24" s="5"/>
    </row>
    <row r="25" ht="69.75" customHeight="1" spans="1:11">
      <c r="A25" s="5"/>
      <c r="B25" s="5"/>
      <c r="C25" s="5"/>
      <c r="D25" s="6"/>
      <c r="E25" s="5"/>
      <c r="F25" s="5"/>
      <c r="G25" s="5"/>
      <c r="H25" s="5"/>
      <c r="I25" s="5"/>
      <c r="J25" s="5"/>
      <c r="K25" s="5"/>
    </row>
    <row r="26" ht="69.75" customHeight="1" spans="1:11">
      <c r="A26" s="5"/>
      <c r="B26" s="5"/>
      <c r="C26" s="5"/>
      <c r="D26" s="6"/>
      <c r="E26" s="5"/>
      <c r="F26" s="5"/>
      <c r="G26" s="5"/>
      <c r="H26" s="5"/>
      <c r="I26" s="5"/>
      <c r="J26" s="5"/>
      <c r="K26" s="5"/>
    </row>
    <row r="27" ht="69.75" customHeight="1" spans="1:11">
      <c r="A27" s="5"/>
      <c r="B27" s="5"/>
      <c r="C27" s="5"/>
      <c r="D27" s="6"/>
      <c r="E27" s="5"/>
      <c r="F27" s="5"/>
      <c r="G27" s="5"/>
      <c r="H27" s="5"/>
      <c r="I27" s="5"/>
      <c r="J27" s="5"/>
      <c r="K27" s="5"/>
    </row>
    <row r="28" ht="69.75" customHeight="1" spans="1:11">
      <c r="A28" s="5"/>
      <c r="B28" s="5"/>
      <c r="C28" s="5"/>
      <c r="D28" s="6"/>
      <c r="E28" s="5"/>
      <c r="F28" s="5"/>
      <c r="G28" s="5"/>
      <c r="H28" s="5"/>
      <c r="I28" s="5"/>
      <c r="J28" s="5"/>
      <c r="K28" s="5"/>
    </row>
    <row r="29" ht="69.75" customHeight="1" spans="1:11">
      <c r="A29" s="5"/>
      <c r="B29" s="5"/>
      <c r="C29" s="5"/>
      <c r="D29" s="6"/>
      <c r="E29" s="5"/>
      <c r="F29" s="5"/>
      <c r="G29" s="5"/>
      <c r="H29" s="5"/>
      <c r="I29" s="5"/>
      <c r="J29" s="5"/>
      <c r="K29" s="5"/>
    </row>
    <row r="30" ht="69.75" customHeight="1" spans="1:11">
      <c r="A30" s="5"/>
      <c r="B30" s="5"/>
      <c r="C30" s="5"/>
      <c r="D30" s="6"/>
      <c r="E30" s="5"/>
      <c r="F30" s="5"/>
      <c r="G30" s="5"/>
      <c r="H30" s="5"/>
      <c r="I30" s="5"/>
      <c r="J30" s="5"/>
      <c r="K30" s="5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907202BF-8271-4A4D-891A-FA99C5D28A7E}" filter="1" showAutoFilter="1">
      <autoFilter ref="A5:K30"/>
    </customSheetView>
  </customSheetViews>
  <dataValidations count="1">
    <dataValidation type="list" allowBlank="1" sqref="G6:G30">
      <formula1>"Not Run,Pass,Fail,Blocked,N/A"</formula1>
    </dataValidation>
  </dataValidations>
  <pageMargins left="0.7" right="0.7" top="0.75" bottom="0.75" header="0" footer="0"/>
  <pageSetup paperSize="1" orientation="landscape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Tong quan</vt:lpstr>
      <vt:lpstr>Test cases</vt:lpstr>
      <vt:lpstr>Du lieu</vt:lpstr>
      <vt:lpstr>Loi</vt:lpstr>
      <vt:lpstr>Nhat ky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Đoàn Tuấn Anh</cp:lastModifiedBy>
  <dcterms:created xsi:type="dcterms:W3CDTF">2026-10-04T01:13:33Z</dcterms:created>
  <dcterms:modified xsi:type="dcterms:W3CDTF">2026-10-04T01:15:50Z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6DD30B89CDD048A6B50B0568CBA128A3_13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