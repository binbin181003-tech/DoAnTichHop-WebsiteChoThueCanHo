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a9f0aa806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 Sprint 1" sheetId="1" r:id="R1263fcbe48d34e9c"/>
    <x:sheet xmlns:r="http://schemas.openxmlformats.org/officeDocument/2006/relationships" name="Report Sprint 2" sheetId="2" r:id="R48166c5f2412481a"/>
    <x:sheet xmlns:r="http://schemas.openxmlformats.org/officeDocument/2006/relationships" name="Report Sprint 3" sheetId="3" r:id="R1b68143d44ef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%"/>
    <x:numFmt numFmtId="202" formatCode="0%"/>
    <x:numFmt numFmtId="203" formatCode="dd/mm/yyyy hh:mm"/>
  </x:numFmts>
  <x:fonts count="4">
    <x:font>
      <x:sz val="11"/>
      <x:name val="Carlito"/>
    </x:font>
    <x:font>
      <x:sz val="11"/>
      <x:color rgb="FF1F2937"/>
      <x:name val="Arial"/>
    </x:font>
    <x:font>
      <x:b/>
      <x:sz val="14"/>
      <x:color rgb="FF263E6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CC"/>
      </x:patternFill>
    </x:fill>
    <x:fill>
      <x:patternFill patternType="solid">
        <x:fgColor rgb="FF263E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9">
    <x:dxf>
      <x:font>
        <x:b/>
        <x:color rgb="FF9D1717"/>
      </x:font>
      <x:fill>
        <x:patternFill patternType="solid">
          <x:bgColor rgb="FFFDE8E7"/>
        </x:patternFill>
      </x:fill>
    </x:dxf>
    <x:dxf>
      <x:font>
        <x:b/>
        <x:color rgb="FF805A00"/>
      </x:font>
      <x:fill>
        <x:patternFill patternType="solid">
          <x:bgColor rgb="FFFFF0D6"/>
        </x:patternFill>
      </x:fill>
    </x:dxf>
    <x:dxf>
      <x:font>
        <x:b/>
        <x:color rgb="FF285B36"/>
      </x:font>
      <x:fill>
        <x:patternFill patternType="solid">
          <x:bgColor rgb="FFE9F3EC"/>
        </x:patternFill>
      </x:fill>
    </x:dxf>
    <x:dxf>
      <x:font>
        <x:b/>
        <x:color rgb="FF9D1717"/>
      </x:font>
      <x:fill>
        <x:patternFill patternType="solid">
          <x:bgColor rgb="FFFDE8E7"/>
        </x:patternFill>
      </x:fill>
    </x:dxf>
    <x:dxf>
      <x:font>
        <x:b/>
        <x:color rgb="FF805A00"/>
      </x:font>
      <x:fill>
        <x:patternFill patternType="solid">
          <x:bgColor rgb="FFFFF0D6"/>
        </x:patternFill>
      </x:fill>
    </x:dxf>
    <x:dxf>
      <x:font>
        <x:b/>
        <x:color rgb="FF285B36"/>
      </x:font>
      <x:fill>
        <x:patternFill patternType="solid">
          <x:bgColor rgb="FFE9F3EC"/>
        </x:patternFill>
      </x:fill>
    </x:dxf>
    <x:dxf>
      <x:font>
        <x:b/>
        <x:color rgb="FF9D1717"/>
      </x:font>
      <x:fill>
        <x:patternFill patternType="solid">
          <x:bgColor rgb="FFFDE8E7"/>
        </x:patternFill>
      </x:fill>
    </x:dxf>
    <x:dxf>
      <x:font>
        <x:b/>
        <x:color rgb="FF805A00"/>
      </x:font>
      <x:fill>
        <x:patternFill patternType="solid">
          <x:bgColor rgb="FFFFF0D6"/>
        </x:patternFill>
      </x:fill>
    </x:dxf>
    <x:dxf>
      <x:font>
        <x:b/>
        <x:color rgb="FF285B36"/>
      </x:font>
      <x:fill>
        <x:patternFill patternType="solid">
          <x:bgColor rgb="FFE9F3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83488d1d84c6b" /><Relationship Type="http://schemas.openxmlformats.org/officeDocument/2006/relationships/theme" Target="/xl/theme/theme1.xml" Id="R06f8e287ca4743ae" /><Relationship Type="http://schemas.openxmlformats.org/officeDocument/2006/relationships/sharedStrings" Target="/xl/sharedStrings.xml" Id="R37b46d4c9d1c4545" /><Relationship Type="http://schemas.openxmlformats.org/officeDocument/2006/relationships/worksheet" Target="/xl/worksheets/sheet1.xml" Id="R1263fcbe48d34e9c" /><Relationship Type="http://schemas.openxmlformats.org/officeDocument/2006/relationships/worksheet" Target="/xl/worksheets/sheet2.xml" Id="R48166c5f2412481a" /><Relationship Type="http://schemas.openxmlformats.org/officeDocument/2006/relationships/worksheet" Target="/xl/worksheets/sheet3.xml" Id="R1b68143d44ef474f" /></Relationships>
</file>

<file path=xl/tables/table1.xml><?xml version="1.0" encoding="utf-8"?>
<x:table xmlns:x="http://schemas.openxmlformats.org/spreadsheetml/2006/main" id="1" name="ReportCasesS1" displayName="ReportCasesS1" ref="A53:M91" headerRowCount="1" totalsRowCount="0" totalsRowShown="0">
  <x:tableColumns count="13">
    <x:tableColumn id="1" name="Mã ca"/>
    <x:tableColumn id="2" name="Nhóm chức năng"/>
    <x:tableColumn id="3" name="Tên ca kiểm thử"/>
    <x:tableColumn id="4" name="Ưu tiên"/>
    <x:tableColumn id="5" name="Trạng thái"/>
    <x:tableColumn id="6" name="Kết quả thực tế"/>
    <x:tableColumn id="7" name="Ngày chạy"/>
    <x:tableColumn id="8" name="Build/commit"/>
    <x:tableColumn id="9" name="Bằng chứng"/>
    <x:tableColumn id="10" name="Mã lỗi"/>
    <x:tableColumn id="11" name="Kết quả retest"/>
    <x:tableColumn id="12" name="Ghi chú / lý do N/A"/>
    <x:tableColumn id="13" name="Người chạ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ortBugsS1" displayName="ReportBugsS1" ref="A97:M117" headerRowCount="1" totalsRowCount="0" totalsRowShown="0">
  <x:tableColumns count="13">
    <x:tableColumn id="1" name="Mã lỗi"/>
    <x:tableColumn id="2" name="Mã ca liên quan"/>
    <x:tableColumn id="3" name="Mô tả lỗi"/>
    <x:tableColumn id="4" name="Mức độ"/>
    <x:tableColumn id="5" name="Ảnh hưởng"/>
    <x:tableColumn id="6" name="Phương án xử lý"/>
    <x:tableColumn id="7" name="Người sửa"/>
    <x:tableColumn id="8" name="Trạng thái lỗi"/>
    <x:tableColumn id="9" name="Build phát hiện"/>
    <x:tableColumn id="10" name="Build sửa"/>
    <x:tableColumn id="11" name="Kết quả retest"/>
    <x:tableColumn id="12" name="Bằng chứng"/>
    <x:tableColumn id="13" name="Quyết định / hạn xử lý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portCasesS2" displayName="ReportCasesS2" ref="A53:M195" headerRowCount="1" totalsRowCount="0" totalsRowShown="0">
  <x:tableColumns count="13">
    <x:tableColumn id="1" name="Mã ca"/>
    <x:tableColumn id="2" name="Nhóm chức năng"/>
    <x:tableColumn id="3" name="Tên ca kiểm thử"/>
    <x:tableColumn id="4" name="Ưu tiên"/>
    <x:tableColumn id="5" name="Trạng thái"/>
    <x:tableColumn id="6" name="Kết quả thực tế"/>
    <x:tableColumn id="7" name="Ngày chạy"/>
    <x:tableColumn id="8" name="Build/commit"/>
    <x:tableColumn id="9" name="Bằng chứng"/>
    <x:tableColumn id="10" name="Mã lỗi"/>
    <x:tableColumn id="11" name="Kết quả retest"/>
    <x:tableColumn id="12" name="Ghi chú / lý do N/A"/>
    <x:tableColumn id="13" name="Người chạ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portBugsS2" displayName="ReportBugsS2" ref="A201:M221" headerRowCount="1" totalsRowCount="0" totalsRowShown="0">
  <x:tableColumns count="13">
    <x:tableColumn id="1" name="Mã lỗi"/>
    <x:tableColumn id="2" name="Mã ca liên quan"/>
    <x:tableColumn id="3" name="Mô tả lỗi"/>
    <x:tableColumn id="4" name="Mức độ"/>
    <x:tableColumn id="5" name="Ảnh hưởng"/>
    <x:tableColumn id="6" name="Phương án xử lý"/>
    <x:tableColumn id="7" name="Người sửa"/>
    <x:tableColumn id="8" name="Trạng thái lỗi"/>
    <x:tableColumn id="9" name="Build phát hiện"/>
    <x:tableColumn id="10" name="Build sửa"/>
    <x:tableColumn id="11" name="Kết quả retest"/>
    <x:tableColumn id="12" name="Bằng chứng"/>
    <x:tableColumn id="13" name="Quyết định / hạn xử lý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ortAi" displayName="ReportAi" ref="A231:K261" headerRowCount="1" totalsRowCount="0" totalsRowShown="0">
  <x:tableColumns count="11">
    <x:tableColumn id="1" name="Mã mẫu"/>
    <x:tableColumn id="2" name="Mô tả đầu vào"/>
    <x:tableColumn id="3" name="Nhãn chuẩn đề xuất"/>
    <x:tableColumn id="4" name="Nhãn không được sinh"/>
    <x:tableColumn id="5" name="Duyệt nhãn"/>
    <x:tableColumn id="6" name="Thẻ thực tế"/>
    <x:tableColumn id="7" name="TP"/>
    <x:tableColumn id="8" name="FP"/>
    <x:tableColumn id="9" name="FN"/>
    <x:tableColumn id="10" name="Bằng chứng"/>
    <x:tableColumn id="11" name="Ghi ch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portCasesS3" displayName="ReportCasesS3" ref="A53:M158" headerRowCount="1" totalsRowCount="0" totalsRowShown="0">
  <x:tableColumns count="13">
    <x:tableColumn id="1" name="Mã ca"/>
    <x:tableColumn id="2" name="Nhóm chức năng"/>
    <x:tableColumn id="3" name="Tên ca kiểm thử"/>
    <x:tableColumn id="4" name="Ưu tiên"/>
    <x:tableColumn id="5" name="Trạng thái"/>
    <x:tableColumn id="6" name="Kết quả thực tế"/>
    <x:tableColumn id="7" name="Ngày chạy"/>
    <x:tableColumn id="8" name="Build/commit"/>
    <x:tableColumn id="9" name="Bằng chứng"/>
    <x:tableColumn id="10" name="Mã lỗi"/>
    <x:tableColumn id="11" name="Kết quả retest"/>
    <x:tableColumn id="12" name="Ghi chú / lý do N/A"/>
    <x:tableColumn id="13" name="Người chạ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portBugsS3" displayName="ReportBugsS3" ref="A164:M184" headerRowCount="1" totalsRowCount="0" totalsRowShown="0">
  <x:tableColumns count="13">
    <x:tableColumn id="1" name="Mã lỗi"/>
    <x:tableColumn id="2" name="Mã ca liên quan"/>
    <x:tableColumn id="3" name="Mô tả lỗi"/>
    <x:tableColumn id="4" name="Mức độ"/>
    <x:tableColumn id="5" name="Ảnh hưởng"/>
    <x:tableColumn id="6" name="Phương án xử lý"/>
    <x:tableColumn id="7" name="Người sửa"/>
    <x:tableColumn id="8" name="Trạng thái lỗi"/>
    <x:tableColumn id="9" name="Build phát hiện"/>
    <x:tableColumn id="10" name="Build sửa"/>
    <x:tableColumn id="11" name="Kết quả retest"/>
    <x:tableColumn id="12" name="Bằng chứng"/>
    <x:tableColumn id="13" name="Quyết định / hạn xử l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d8bb9ae350414d" /><Relationship Type="http://schemas.openxmlformats.org/officeDocument/2006/relationships/table" Target="/xl/tables/table2.xml" Id="R49cae574b3d34d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720a9ceb8fb43d6" /><Relationship Type="http://schemas.openxmlformats.org/officeDocument/2006/relationships/table" Target="/xl/tables/table4.xml" Id="Rd9170cb07fc74f6f" /><Relationship Type="http://schemas.openxmlformats.org/officeDocument/2006/relationships/table" Target="/xl/tables/table5.xml" Id="R69116f38a62e47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ca85cc23102f4373" /><Relationship Type="http://schemas.openxmlformats.org/officeDocument/2006/relationships/table" Target="/xl/tables/table7.xml" Id="R37bceb36c95b4bfc" /></Relationships>
</file>

<file path=xl/worksheets/sheet1.xml><?xml version="1.0" encoding="utf-8"?>
<x:worksheet xmlns:x="http://schemas.openxmlformats.org/spreadsheetml/2006/main">
  <x:sheetPr>
    <x:tabColor rgb="FF263E63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30" hidden="0" customWidth="1"/>
    <x:col min="2" max="2" width="32" hidden="0" customWidth="1"/>
    <x:col min="3" max="3" width="47" hidden="0" customWidth="1"/>
    <x:col min="4" max="4" width="30" hidden="0" customWidth="1"/>
    <x:col min="5" max="5" width="24" hidden="0" customWidth="1"/>
    <x:col min="6" max="6" width="50" hidden="0" customWidth="1"/>
    <x:col min="7" max="7" width="22" hidden="0" customWidth="1"/>
    <x:col min="8" max="8" width="63" hidden="0" customWidth="1"/>
    <x:col min="9" max="9" width="28" hidden="0" customWidth="1"/>
    <x:col min="10" max="10" width="24" hidden="0" customWidth="1"/>
    <x:col min="11" max="11" width="32" hidden="0" customWidth="1"/>
    <x:col min="12" max="12" width="32" hidden="0" customWidth="1"/>
    <x:col min="13" max="13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5" t="str">
        <x:v>SMARTLEASE AI – TEST REPORT SPRINT 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0" customHeight="1">
      <x:c r="A4" s="3" t="str">
        <x:v>Người kiểm thử</x:v>
      </x:c>
      <x:c r="B4" s="3" t="str">
        <x:v>Hoàng Đại Hợp</x:v>
      </x:c>
      <x:c r="C4" s="3"/>
      <x:c r="D4" s="3" t="str">
        <x:v>Từ ngày thực hiện</x:v>
      </x:c>
      <x:c r="E4" s="7"/>
      <x:c r="F4" s="3"/>
      <x:c r="G4" s="3"/>
      <x:c r="H4" s="3"/>
      <x:c r="I4" s="3"/>
      <x:c r="J4" s="3"/>
      <x:c r="K4" s="3"/>
      <x:c r="L4" s="3"/>
      <x:c r="M4" s="3"/>
    </x:row>
    <x:row r="5" ht="30" customHeight="1">
      <x:c r="A5" s="3" t="str">
        <x:v>Môi trường</x:v>
      </x:c>
      <x:c r="B5" s="3" t="str">
        <x:v>Localhost</x:v>
      </x:c>
      <x:c r="C5" s="3"/>
      <x:c r="D5" s="3" t="str">
        <x:v>Đến ngày thực hiện</x:v>
      </x:c>
      <x:c r="E5" s="7"/>
      <x:c r="F5" s="3"/>
      <x:c r="G5" s="3"/>
      <x:c r="H5" s="3"/>
      <x:c r="I5" s="3"/>
      <x:c r="J5" s="3"/>
      <x:c r="K5" s="3"/>
      <x:c r="L5" s="3"/>
      <x:c r="M5" s="3"/>
    </x:row>
    <x:row r="6" ht="30" customHeight="1">
      <x:c r="A6" s="3" t="str">
        <x:v>Sprint theo kế hoạch</x:v>
      </x:c>
      <x:c r="B6" s="3" t="str">
        <x:v>01/09–12/09/2026</x:v>
      </x:c>
      <x:c r="C6" s="3"/>
      <x:c r="D6" s="3" t="str">
        <x:v>Build/commit</x:v>
      </x:c>
      <x:c r="E6" s="6" t="str"/>
      <x:c r="F6" s="3"/>
      <x:c r="G6" s="3"/>
      <x:c r="H6" s="3"/>
      <x:c r="I6" s="3"/>
      <x:c r="J6" s="3"/>
      <x:c r="K6" s="3"/>
      <x:c r="L6" s="3"/>
      <x:c r="M6" s="3"/>
    </x:row>
    <x:row r="7" ht="30" customHeight="1">
      <x:c r="A7" s="3" t="str">
        <x:v>Nguồn kết quả</x:v>
      </x:c>
      <x:c r="B7" s="3" t="str">
        <x:f>IF(B12=0,"Chưa có ca đã chạy","Kết quả cập nhật trong báo cáo")</x:f>
        <x:v>Chưa có ca đã chạy</x:v>
      </x:c>
      <x:c r="C7" s="3"/>
      <x:c r="D7" s="3" t="str">
        <x:v>Ngày lập báo cáo</x:v>
      </x:c>
      <x:c r="E7" s="7"/>
      <x:c r="F7" s="3"/>
      <x:c r="G7" s="3"/>
      <x:c r="H7" s="3"/>
      <x:c r="I7" s="3"/>
      <x:c r="J7" s="3"/>
      <x:c r="K7" s="3"/>
      <x:c r="L7" s="3"/>
      <x:c r="M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</x:row>
    <x:row r="9" ht="34" customHeight="1">
      <x:c r="A9" s="10" t="str">
        <x:v>KẾT QUẢ KIỂM THỬ</x:v>
      </x:c>
      <x:c r="B9" s="10" t="str">
        <x:v>Số ca / tỷ lệ</x:v>
      </x:c>
      <x:c r="C9" s="3"/>
      <x:c r="D9" s="10" t="str">
        <x:v>ĐIỀU KIỆN VÀ LỖI</x:v>
      </x:c>
      <x:c r="E9" s="10" t="str">
        <x:v>Số ca / trạng thái</x:v>
      </x:c>
      <x:c r="F9" s="3"/>
      <x:c r="G9" s="9" t="str">
        <x:v>HƯỚNG DẪN</x:v>
      </x:c>
      <x:c r="H9" s="9" t="str">
        <x:v>Nội dung</x:v>
      </x:c>
      <x:c r="I9" s="3"/>
      <x:c r="J9" s="3"/>
      <x:c r="K9" s="3"/>
      <x:c r="L9" s="3"/>
      <x:c r="M9" s="3"/>
    </x:row>
    <x:row r="10" ht="38" customHeight="1">
      <x:c r="A10" s="3" t="str">
        <x:v>Tổng ca thiết kế</x:v>
      </x:c>
      <x:c r="B10" s="3" t="n">
        <x:f>COUNTA($A$54:$A$91)</x:f>
        <x:v>38</x:v>
      </x:c>
      <x:c r="C10" s="3"/>
      <x:c r="D10" s="3" t="str">
        <x:v>P1 trong phạm vi</x:v>
      </x:c>
      <x:c r="E10" s="3" t="n">
        <x:f>COUNTIFS($D$54:$D$91,"P1",$E$54:$E$91,"&lt;&gt;N/A")</x:f>
        <x:v>22</x:v>
      </x:c>
      <x:c r="F10" s="3"/>
      <x:c r="G10" s="3" t="str">
        <x:v>Phạm vi</x:v>
      </x:c>
      <x:c r="H10" s="3" t="str">
        <x:v>Báo cáo cho 38 ca trong bộ Test Case Sprint 1.</x:v>
      </x:c>
      <x:c r="I10" s="3"/>
      <x:c r="J10" s="3"/>
      <x:c r="K10" s="3"/>
      <x:c r="L10" s="3"/>
      <x:c r="M10" s="3"/>
    </x:row>
    <x:row r="11" ht="42" customHeight="1">
      <x:c r="A11" s="3" t="str">
        <x:v>Trong phạm vi</x:v>
      </x:c>
      <x:c r="B11" s="3" t="n">
        <x:f>B10-B17</x:f>
        <x:v>38</x:v>
      </x:c>
      <x:c r="C11" s="3"/>
      <x:c r="D11" s="3" t="str">
        <x:v>P1 đã Pass</x:v>
      </x:c>
      <x:c r="E11" s="3" t="n">
        <x:f>COUNTIFS($D$54:$D$91,"P1",$E$54:$E$91,"Pass")</x:f>
        <x:v>0</x:v>
      </x:c>
      <x:c r="F11" s="3"/>
      <x:c r="G11" s="3" t="str">
        <x:v>Cập nhật</x:v>
      </x:c>
      <x:c r="H11" s="3" t="str">
        <x:v>Điền E:M tại bảng kết quả từ dòng 54. Sao chép theo mã ca từ file Test Case; không có liên kết tự động giữa các file.</x:v>
      </x:c>
      <x:c r="I11" s="3"/>
      <x:c r="J11" s="3"/>
      <x:c r="K11" s="3"/>
      <x:c r="L11" s="3"/>
      <x:c r="M11" s="3"/>
    </x:row>
    <x:row r="12" ht="42" customHeight="1">
      <x:c r="A12" s="3" t="str">
        <x:v>Đã chạy (Pass + Fail)</x:v>
      </x:c>
      <x:c r="B12" s="3" t="n">
        <x:f>SUM(B13:B14)</x:f>
        <x:v>0</x:v>
      </x:c>
      <x:c r="C12" s="3"/>
      <x:c r="D12" s="3" t="str">
        <x:v>P1 chưa Pass</x:v>
      </x:c>
      <x:c r="E12" s="3" t="n">
        <x:f>E10-E11</x:f>
        <x:v>22</x:v>
      </x:c>
      <x:c r="F12" s="3"/>
      <x:c r="G12" s="3" t="str">
        <x:v>Trạng thái</x:v>
      </x:c>
      <x:c r="H12" s="3" t="str">
        <x:v>Not Run: chưa chạy; Pass: đúng mọi mong đợi; Fail: kết quả sai; Blocked: chưa thể chạy; N/A: ngoài phạm vi đã xác nhận.</x:v>
      </x:c>
      <x:c r="I12" s="3"/>
      <x:c r="J12" s="3"/>
      <x:c r="K12" s="3"/>
      <x:c r="L12" s="3"/>
      <x:c r="M12" s="3"/>
    </x:row>
    <x:row r="13" ht="42" customHeight="1">
      <x:c r="A13" s="3" t="str">
        <x:v>Pass</x:v>
      </x:c>
      <x:c r="B13" s="3" t="n">
        <x:f>COUNTIFS($E$54:$E$91,"Pass")</x:f>
        <x:v>0</x:v>
      </x:c>
      <x:c r="C13" s="3"/>
      <x:c r="D13" s="3" t="str">
        <x:v>Lỗi đã ghi nhận</x:v>
      </x:c>
      <x:c r="E13" s="3" t="n">
        <x:f>COUNTA(A98:A117)</x:f>
        <x:v>0</x:v>
      </x:c>
      <x:c r="F13" s="3"/>
      <x:c r="G13" s="3" t="str">
        <x:v>Tỷ lệ đạt</x:v>
      </x:c>
      <x:c r="H13" s="3" t="str">
        <x:v>Pass / (tổng ca − N/A). Fail, Blocked và Not Run vẫn nằm trong mẫu số.</x:v>
      </x:c>
      <x:c r="I13" s="3"/>
      <x:c r="J13" s="3"/>
      <x:c r="K13" s="3"/>
      <x:c r="L13" s="3"/>
      <x:c r="M13" s="3"/>
    </x:row>
    <x:row r="14" ht="42" customHeight="1">
      <x:c r="A14" s="3" t="str">
        <x:v>Fail</x:v>
      </x:c>
      <x:c r="B14" s="3" t="n">
        <x:f>COUNTIFS($E$54:$E$91,"Fail")</x:f>
        <x:v>0</x:v>
      </x:c>
      <x:c r="C14" s="3"/>
      <x:c r="D14" s="3" t="str">
        <x:v>Lỗi chưa đóng</x:v>
      </x:c>
      <x:c r="E14" s="3" t="n">
        <x:f>COUNTIFS(A98:A117,"&lt;&gt;",H98:H117,"&lt;&gt;Đóng")</x:f>
        <x:v>0</x:v>
      </x:c>
      <x:c r="F14" s="3"/>
      <x:c r="G14" s="3" t="str">
        <x:v>Lỗi</x:v>
      </x:c>
      <x:c r="H14" s="3" t="str">
        <x:v>Chỉ ghi lỗi quan sát được. 0 lỗi đã ghi không chứng minh phần mềm không có lỗi.</x:v>
      </x:c>
      <x:c r="I14" s="3"/>
      <x:c r="J14" s="3"/>
      <x:c r="K14" s="3"/>
      <x:c r="L14" s="3"/>
      <x:c r="M14" s="3"/>
    </x:row>
    <x:row r="15" ht="42" customHeight="1">
      <x:c r="A15" s="3" t="str">
        <x:v>Blocked</x:v>
      </x:c>
      <x:c r="B15" s="3" t="n">
        <x:f>COUNTIFS($E$54:$E$91,"Blocked")</x:f>
        <x:v>0</x:v>
      </x:c>
      <x:c r="C15" s="3"/>
      <x:c r="D15" s="3" t="str">
        <x:v>Lỗi nghiêm trọng mở</x:v>
      </x:c>
      <x:c r="E15" s="3" t="n">
        <x:f>COUNTIFS(A98:A117,"&lt;&gt;",D98:D117,"Nghiêm trọng",H98:H117,"&lt;&gt;Đóng")</x:f>
        <x:v>0</x:v>
      </x:c>
      <x:c r="F15" s="3"/>
      <x:c r="G15" s="3" t="str">
        <x:v>Điều kiện</x:v>
      </x:c>
      <x:c r="H15" s="3" t="str">
        <x:v>Theo Test Plan: ≥95% ca trong phạm vi Pass, 100% P1 Pass, không còn lỗi nghiêm trọng; lỗi tồn có quyết định xử lý.</x:v>
      </x:c>
      <x:c r="I15" s="3"/>
      <x:c r="J15" s="3"/>
      <x:c r="K15" s="3"/>
      <x:c r="L15" s="3"/>
      <x:c r="M15" s="3"/>
    </x:row>
    <x:row r="16" ht="42" customHeight="1">
      <x:c r="A16" s="3" t="str">
        <x:v>Not Run</x:v>
      </x:c>
      <x:c r="B16" s="3" t="n">
        <x:f>COUNTIFS($E$54:$E$91,"Not Run")</x:f>
        <x:v>38</x:v>
      </x:c>
      <x:c r="C16" s="3"/>
      <x:c r="D16" s="3" t="str">
        <x:v>Trạng thái kết quả</x:v>
      </x:c>
      <x:c r="E16" s="3" t="str">
        <x:f>IF(B12=0,"Chưa có ca đã chạy",IF(SUM(B15:B16)&gt;0,"Chưa chạy hết phạm vi","Đã ghi đủ trạng thái chạy"))</x:f>
        <x:v>Chưa có ca đã chạy</x:v>
      </x:c>
      <x:c r="F16" s="3"/>
      <x:c r="G16" s="3" t="str">
        <x:v>Bằng chứng</x:v>
      </x:c>
      <x:c r="H16" s="3" t="str">
        <x:v>Ghi ảnh/log đã che khóa, token và mật khẩu. Mỗi dòng ca phản ánh lần chạy mới nhất.</x:v>
      </x:c>
      <x:c r="I16" s="3"/>
      <x:c r="J16" s="3"/>
      <x:c r="K16" s="3"/>
      <x:c r="L16" s="3"/>
      <x:c r="M16" s="3"/>
    </x:row>
    <x:row r="17" ht="42" customHeight="1">
      <x:c r="A17" s="3" t="str">
        <x:v>N/A</x:v>
      </x:c>
      <x:c r="B17" s="3" t="n">
        <x:f>COUNTIFS($E$54:$E$91,"N/A")</x:f>
        <x:v>0</x:v>
      </x:c>
      <x:c r="C17" s="3"/>
      <x:c r="D17" s="3" t="str">
        <x:v>Mục tiêu tỷ lệ đạt</x:v>
      </x:c>
      <x:c r="E17" s="12" t="n">
        <x:v>0.95</x:v>
      </x:c>
      <x:c r="F17" s="3"/>
      <x:c r="G17" s="3" t="str">
        <x:v>Lịch sử</x:v>
      </x:c>
      <x:c r="H17" s="3" t="str">
        <x:v>Giữ lịch sử chạy/retest ở file Test Case; ghi ngày và build thực tế vào báo cáo.</x:v>
      </x:c>
      <x:c r="I17" s="3"/>
      <x:c r="J17" s="3"/>
      <x:c r="K17" s="3"/>
      <x:c r="L17" s="3"/>
      <x:c r="M17" s="3"/>
    </x:row>
    <x:row r="18" ht="42" customHeight="1">
      <x:c r="A18" s="3" t="str">
        <x:v>Tỷ lệ đã chạy</x:v>
      </x:c>
      <x:c r="B18" s="11" t="n">
        <x:f>IF(B11=0,"Không áp dụng",B12/B11)</x:f>
        <x:v>0</x:v>
      </x:c>
      <x:c r="C18" s="3"/>
      <x:c r="D18" s="3" t="str">
        <x:v>Giờ kiểm thử dự kiến</x:v>
      </x:c>
      <x:c r="E18" s="3" t="n">
        <x:v>8</x:v>
      </x:c>
      <x:c r="F18" s="3"/>
      <x:c r="G18" s="3" t="str">
        <x:v>N/A</x:v>
      </x:c>
      <x:c r="H18" s="3" t="str">
        <x:v>Phải có lý do và người xác nhận ở cột L. Không dùng N/A để bỏ qua chức năng thiếu.</x:v>
      </x:c>
      <x:c r="I18" s="3"/>
      <x:c r="J18" s="3"/>
      <x:c r="K18" s="3"/>
      <x:c r="L18" s="3"/>
      <x:c r="M18" s="3"/>
    </x:row>
    <x:row r="19" ht="42" customHeight="1">
      <x:c r="A19" s="3" t="str">
        <x:v>Tỷ lệ đạt trong phạm vi</x:v>
      </x:c>
      <x:c r="B19" s="11" t="n">
        <x:f>IF(B11=0,"Không áp dụng",B13/B11)</x:f>
        <x:v>0</x:v>
      </x:c>
      <x:c r="C19" s="3"/>
      <x:c r="D19" s="3" t="str">
        <x:v>Giờ kiểm thử thực tế</x:v>
      </x:c>
      <x:c r="E19" s="6"/>
      <x:c r="F19" s="3"/>
      <x:c r="G19" s="3" t="str">
        <x:v>Kết luận</x:v>
      </x:c>
      <x:c r="H19" s="3" t="str">
        <x:v>Hợp chỉ chọn kết luận sau khi rà soát ca, lỗi còn mở, bằng chứng và các điều kiện riêng của sprint.</x:v>
      </x:c>
      <x:c r="I19" s="3"/>
      <x:c r="J19" s="3"/>
      <x:c r="K19" s="3"/>
      <x:c r="L19" s="3"/>
      <x:c r="M19" s="3"/>
    </x:row>
    <x:row r="20" ht="38" customHeight="1">
      <x:c r="A20" s="3" t="str">
        <x:v>Tỷ lệ đạt trên ca đã chạy</x:v>
      </x:c>
      <x:c r="B20" s="11" t="str">
        <x:f>IF(B12=0,"Chưa có dữ liệu",B13/B12)</x:f>
        <x:v>Chưa có dữ liệu</x:v>
      </x:c>
      <x:c r="C20" s="3"/>
      <x:c r="D20" s="3" t="str">
        <x:v>Kết luận của Hợp</x:v>
      </x:c>
      <x:c r="E20" s="6" t="str">
        <x:v>Chưa đánh giá</x:v>
      </x:c>
      <x:c r="F20" s="3"/>
      <x:c r="G20" s="3"/>
      <x:c r="H20" s="3"/>
      <x:c r="I20" s="3"/>
      <x:c r="J20" s="3"/>
      <x:c r="K20" s="3"/>
      <x:c r="L20" s="3"/>
      <x:c r="M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5" t="str">
        <x:v>Kết quả theo nhóm chức năng</x:v>
      </x:c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34" customHeight="1">
      <x:c r="A25" s="10" t="str">
        <x:v>Nhóm chức năng</x:v>
      </x:c>
      <x:c r="B25" s="10" t="str">
        <x:v>Tổng ca</x:v>
      </x:c>
      <x:c r="C25" s="10" t="str">
        <x:v>Pass</x:v>
      </x:c>
      <x:c r="D25" s="10" t="str">
        <x:v>Fail</x:v>
      </x:c>
      <x:c r="E25" s="10" t="str">
        <x:v>Blocked</x:v>
      </x:c>
      <x:c r="F25" s="10" t="str">
        <x:v>Not Run</x:v>
      </x:c>
      <x:c r="G25" s="10" t="str">
        <x:v>N/A</x:v>
      </x:c>
      <x:c r="H25" s="10" t="str">
        <x:v>Trong phạm vi</x:v>
      </x:c>
      <x:c r="I25" s="10" t="str">
        <x:v>Tỷ lệ đạt</x:v>
      </x:c>
      <x:c r="J25" s="3"/>
      <x:c r="K25" s="3"/>
      <x:c r="L25" s="3"/>
      <x:c r="M25" s="3"/>
    </x:row>
    <x:row r="26" ht="40" customHeight="1">
      <x:c r="A26" s="3" t="str">
        <x:v>S1-F01 CSDL</x:v>
      </x:c>
      <x:c r="B26" s="3" t="n">
        <x:f>COUNTIFS($B$54:$B$91,A26)</x:f>
        <x:v>10</x:v>
      </x:c>
      <x:c r="C26" s="3" t="n">
        <x:f>COUNTIFS($B$54:$B$91,A26,$E$54:$E$91,"Pass")</x:f>
        <x:v>0</x:v>
      </x:c>
      <x:c r="D26" s="3" t="n">
        <x:f>COUNTIFS($B$54:$B$91,A26,$E$54:$E$91,"Fail")</x:f>
        <x:v>0</x:v>
      </x:c>
      <x:c r="E26" s="3" t="n">
        <x:f>COUNTIFS($B$54:$B$91,A26,$E$54:$E$91,"Blocked")</x:f>
        <x:v>0</x:v>
      </x:c>
      <x:c r="F26" s="3" t="n">
        <x:f>COUNTIFS($B$54:$B$91,A26,$E$54:$E$91,"Not Run")</x:f>
        <x:v>10</x:v>
      </x:c>
      <x:c r="G26" s="3" t="n">
        <x:f>COUNTIFS($B$54:$B$91,A26,$E$54:$E$91,"N/A")</x:f>
        <x:v>0</x:v>
      </x:c>
      <x:c r="H26" s="3" t="n">
        <x:f>B26-G26</x:f>
        <x:v>10</x:v>
      </x:c>
      <x:c r="I26" s="11" t="n">
        <x:f>IF(H26=0,"Không áp dụng",C26/H26)</x:f>
        <x:v>0</x:v>
      </x:c>
      <x:c r="J26" s="3"/>
      <x:c r="K26" s="3"/>
      <x:c r="L26" s="3"/>
      <x:c r="M26" s="3"/>
    </x:row>
    <x:row r="27" ht="40" customHeight="1">
      <x:c r="A27" s="3" t="str">
        <x:v>S1-F02 Backend/API</x:v>
      </x:c>
      <x:c r="B27" s="3" t="n">
        <x:f>COUNTIFS($B$54:$B$91,A27)</x:f>
        <x:v>11</x:v>
      </x:c>
      <x:c r="C27" s="3" t="n">
        <x:f>COUNTIFS($B$54:$B$91,A27,$E$54:$E$91,"Pass")</x:f>
        <x:v>0</x:v>
      </x:c>
      <x:c r="D27" s="3" t="n">
        <x:f>COUNTIFS($B$54:$B$91,A27,$E$54:$E$91,"Fail")</x:f>
        <x:v>0</x:v>
      </x:c>
      <x:c r="E27" s="3" t="n">
        <x:f>COUNTIFS($B$54:$B$91,A27,$E$54:$E$91,"Blocked")</x:f>
        <x:v>0</x:v>
      </x:c>
      <x:c r="F27" s="3" t="n">
        <x:f>COUNTIFS($B$54:$B$91,A27,$E$54:$E$91,"Not Run")</x:f>
        <x:v>11</x:v>
      </x:c>
      <x:c r="G27" s="3" t="n">
        <x:f>COUNTIFS($B$54:$B$91,A27,$E$54:$E$91,"N/A")</x:f>
        <x:v>0</x:v>
      </x:c>
      <x:c r="H27" s="3" t="n">
        <x:f>B27-G27</x:f>
        <x:v>11</x:v>
      </x:c>
      <x:c r="I27" s="11" t="n">
        <x:f>IF(H27=0,"Không áp dụng",C27/H27)</x:f>
        <x:v>0</x:v>
      </x:c>
      <x:c r="J27" s="3"/>
      <x:c r="K27" s="3"/>
      <x:c r="L27" s="3"/>
      <x:c r="M27" s="3"/>
    </x:row>
    <x:row r="28" ht="40" customHeight="1">
      <x:c r="A28" s="3" t="str">
        <x:v>S1-F03 Frontend</x:v>
      </x:c>
      <x:c r="B28" s="3" t="n">
        <x:f>COUNTIFS($B$54:$B$91,A28)</x:f>
        <x:v>9</x:v>
      </x:c>
      <x:c r="C28" s="3" t="n">
        <x:f>COUNTIFS($B$54:$B$91,A28,$E$54:$E$91,"Pass")</x:f>
        <x:v>0</x:v>
      </x:c>
      <x:c r="D28" s="3" t="n">
        <x:f>COUNTIFS($B$54:$B$91,A28,$E$54:$E$91,"Fail")</x:f>
        <x:v>0</x:v>
      </x:c>
      <x:c r="E28" s="3" t="n">
        <x:f>COUNTIFS($B$54:$B$91,A28,$E$54:$E$91,"Blocked")</x:f>
        <x:v>0</x:v>
      </x:c>
      <x:c r="F28" s="3" t="n">
        <x:f>COUNTIFS($B$54:$B$91,A28,$E$54:$E$91,"Not Run")</x:f>
        <x:v>9</x:v>
      </x:c>
      <x:c r="G28" s="3" t="n">
        <x:f>COUNTIFS($B$54:$B$91,A28,$E$54:$E$91,"N/A")</x:f>
        <x:v>0</x:v>
      </x:c>
      <x:c r="H28" s="3" t="n">
        <x:f>B28-G28</x:f>
        <x:v>9</x:v>
      </x:c>
      <x:c r="I28" s="11" t="n">
        <x:f>IF(H28=0,"Không áp dụng",C28/H28)</x:f>
        <x:v>0</x:v>
      </x:c>
      <x:c r="J28" s="3"/>
      <x:c r="K28" s="3"/>
      <x:c r="L28" s="3"/>
      <x:c r="M28" s="3"/>
    </x:row>
    <x:row r="29" ht="40" customHeight="1">
      <x:c r="A29" s="3" t="str">
        <x:v>S1-F04 Tích hợp</x:v>
      </x:c>
      <x:c r="B29" s="3" t="n">
        <x:f>COUNTIFS($B$54:$B$91,A29)</x:f>
        <x:v>8</x:v>
      </x:c>
      <x:c r="C29" s="3" t="n">
        <x:f>COUNTIFS($B$54:$B$91,A29,$E$54:$E$91,"Pass")</x:f>
        <x:v>0</x:v>
      </x:c>
      <x:c r="D29" s="3" t="n">
        <x:f>COUNTIFS($B$54:$B$91,A29,$E$54:$E$91,"Fail")</x:f>
        <x:v>0</x:v>
      </x:c>
      <x:c r="E29" s="3" t="n">
        <x:f>COUNTIFS($B$54:$B$91,A29,$E$54:$E$91,"Blocked")</x:f>
        <x:v>0</x:v>
      </x:c>
      <x:c r="F29" s="3" t="n">
        <x:f>COUNTIFS($B$54:$B$91,A29,$E$54:$E$91,"Not Run")</x:f>
        <x:v>8</x:v>
      </x:c>
      <x:c r="G29" s="3" t="n">
        <x:f>COUNTIFS($B$54:$B$91,A29,$E$54:$E$91,"N/A")</x:f>
        <x:v>0</x:v>
      </x:c>
      <x:c r="H29" s="3" t="n">
        <x:f>B29-G29</x:f>
        <x:v>8</x:v>
      </x:c>
      <x:c r="I29" s="11" t="n">
        <x:f>IF(H29=0,"Không áp dụng",C29/H29)</x:f>
        <x:v>0</x:v>
      </x:c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5" t="str">
        <x:v>Nhận xét và đề xuất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130" customHeight="1">
      <x:c r="A45" s="3" t="str">
        <x:v>Kết quả nổi bật</x:v>
      </x:c>
      <x:c r="B45" s="6" t="str">
        <x:v>Chưa có dữ liệu chạy kiểm thử.</x:v>
      </x:c>
      <x:c r="C45" s="6"/>
      <x:c r="D45" s="3" t="str">
        <x:v>Lưu ý riêng của sprint</x:v>
      </x:c>
      <x:c r="E45" s="3" t="str">
        <x:v>Đối chiếu CSDL, API và giao diện nền tảng với thiết kế đã chốt.</x:v>
      </x:c>
      <x:c r="F45" s="3"/>
      <x:c r="G45" s="3"/>
      <x:c r="H45" s="3"/>
      <x:c r="I45" s="3"/>
      <x:c r="J45" s="3"/>
      <x:c r="K45" s="3"/>
      <x:c r="L45" s="3"/>
      <x:c r="M45" s="3"/>
    </x:row>
    <x:row r="46" ht="50" customHeight="1">
      <x:c r="A46" s="3" t="str">
        <x:v>Lỗi và tồn tại</x:v>
      </x:c>
      <x:c r="B46" s="6" t="str"/>
      <x:c r="C46" s="6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50" customHeight="1">
      <x:c r="A47" s="3" t="str">
        <x:v>Phần bị chặn/chưa kiểm tra</x:v>
      </x:c>
      <x:c r="B47" s="6" t="str"/>
      <x:c r="C47" s="6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50" customHeight="1">
      <x:c r="A48" s="3" t="str">
        <x:v>Đề xuất xử lý</x:v>
      </x:c>
      <x:c r="B48" s="6" t="str"/>
      <x:c r="C48" s="6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50" customHeight="1">
      <x:c r="A49" s="3" t="str">
        <x:v>Người rà soát / ngày</x:v>
      </x:c>
      <x:c r="B49" s="6" t="str"/>
      <x:c r="C49" s="6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5" t="str">
        <x:v>Chi tiết kết quả theo ca</x:v>
      </x:c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34" customHeight="1">
      <x:c r="A53" s="10" t="str">
        <x:v>Mã ca</x:v>
      </x:c>
      <x:c r="B53" s="10" t="str">
        <x:v>Nhóm chức năng</x:v>
      </x:c>
      <x:c r="C53" s="10" t="str">
        <x:v>Tên ca kiểm thử</x:v>
      </x:c>
      <x:c r="D53" s="10" t="str">
        <x:v>Ưu tiên</x:v>
      </x:c>
      <x:c r="E53" s="10" t="str">
        <x:v>Trạng thái</x:v>
      </x:c>
      <x:c r="F53" s="10" t="str">
        <x:v>Kết quả thực tế</x:v>
      </x:c>
      <x:c r="G53" s="10" t="str">
        <x:v>Ngày chạy</x:v>
      </x:c>
      <x:c r="H53" s="10" t="str">
        <x:v>Build/commit</x:v>
      </x:c>
      <x:c r="I53" s="10" t="str">
        <x:v>Bằng chứng</x:v>
      </x:c>
      <x:c r="J53" s="10" t="str">
        <x:v>Mã lỗi</x:v>
      </x:c>
      <x:c r="K53" s="10" t="str">
        <x:v>Kết quả retest</x:v>
      </x:c>
      <x:c r="L53" s="10" t="str">
        <x:v>Ghi chú / lý do N/A</x:v>
      </x:c>
      <x:c r="M53" s="10" t="str">
        <x:v>Người chạy</x:v>
      </x:c>
    </x:row>
    <x:row r="54" ht="44" customHeight="1">
      <x:c r="A54" s="3" t="str">
        <x:v>S1-TC001</x:v>
      </x:c>
      <x:c r="B54" s="3" t="str">
        <x:v>S1-F01 CSDL</x:v>
      </x:c>
      <x:c r="C54" s="3" t="str">
        <x:v>Tạo CSDL từ script</x:v>
      </x:c>
      <x:c r="D54" s="3" t="str">
        <x:v>P1</x:v>
      </x:c>
      <x:c r="E54" s="6" t="str">
        <x:v>Not Run</x:v>
      </x:c>
      <x:c r="F54" s="6" t="str"/>
      <x:c r="G54" s="13"/>
      <x:c r="H54" s="6" t="str"/>
      <x:c r="I54" s="6" t="str"/>
      <x:c r="J54" s="6" t="str"/>
      <x:c r="K54" s="6" t="str"/>
      <x:c r="L54" s="6" t="str"/>
      <x:c r="M54" s="6" t="str">
        <x:v>Hoàng Đại Hợp</x:v>
      </x:c>
    </x:row>
    <x:row r="55" ht="44" customHeight="1">
      <x:c r="A55" s="3" t="str">
        <x:v>S1-TC002</x:v>
      </x:c>
      <x:c r="B55" s="3" t="str">
        <x:v>S1-F01 CSDL</x:v>
      </x:c>
      <x:c r="C55" s="3" t="str">
        <x:v>Đối chiếu cột và kiểu dữ liệu</x:v>
      </x:c>
      <x:c r="D55" s="3" t="str">
        <x:v>P1</x:v>
      </x:c>
      <x:c r="E55" s="6" t="str">
        <x:v>Not Run</x:v>
      </x:c>
      <x:c r="F55" s="6" t="str"/>
      <x:c r="G55" s="13"/>
      <x:c r="H55" s="6" t="str"/>
      <x:c r="I55" s="6" t="str"/>
      <x:c r="J55" s="6" t="str"/>
      <x:c r="K55" s="6" t="str"/>
      <x:c r="L55" s="6" t="str"/>
      <x:c r="M55" s="6" t="str">
        <x:v>Hoàng Đại Hợp</x:v>
      </x:c>
    </x:row>
    <x:row r="56" ht="44" customHeight="1">
      <x:c r="A56" s="3" t="str">
        <x:v>S1-TC003</x:v>
      </x:c>
      <x:c r="B56" s="3" t="str">
        <x:v>S1-F01 CSDL</x:v>
      </x:c>
      <x:c r="C56" s="3" t="str">
        <x:v>Khóa chính không trùng</x:v>
      </x:c>
      <x:c r="D56" s="3" t="str">
        <x:v>P1</x:v>
      </x:c>
      <x:c r="E56" s="6" t="str">
        <x:v>Not Run</x:v>
      </x:c>
      <x:c r="F56" s="6" t="str"/>
      <x:c r="G56" s="13"/>
      <x:c r="H56" s="6" t="str"/>
      <x:c r="I56" s="6" t="str"/>
      <x:c r="J56" s="6" t="str"/>
      <x:c r="K56" s="6" t="str"/>
      <x:c r="L56" s="6" t="str"/>
      <x:c r="M56" s="6" t="str">
        <x:v>Hoàng Đại Hợp</x:v>
      </x:c>
    </x:row>
    <x:row r="57" ht="44" customHeight="1">
      <x:c r="A57" s="3" t="str">
        <x:v>S1-TC004</x:v>
      </x:c>
      <x:c r="B57" s="3" t="str">
        <x:v>S1-F01 CSDL</x:v>
      </x:c>
      <x:c r="C57" s="3" t="str">
        <x:v>Khóa ngoại hợp lệ</x:v>
      </x:c>
      <x:c r="D57" s="3" t="str">
        <x:v>P1</x:v>
      </x:c>
      <x:c r="E57" s="6" t="str">
        <x:v>Not Run</x:v>
      </x:c>
      <x:c r="F57" s="6" t="str"/>
      <x:c r="G57" s="13"/>
      <x:c r="H57" s="6" t="str"/>
      <x:c r="I57" s="6" t="str"/>
      <x:c r="J57" s="6" t="str"/>
      <x:c r="K57" s="6" t="str"/>
      <x:c r="L57" s="6" t="str"/>
      <x:c r="M57" s="6" t="str">
        <x:v>Hoàng Đại Hợp</x:v>
      </x:c>
    </x:row>
    <x:row r="58" ht="44" customHeight="1">
      <x:c r="A58" s="3" t="str">
        <x:v>S1-TC005</x:v>
      </x:c>
      <x:c r="B58" s="3" t="str">
        <x:v>S1-F01 CSDL</x:v>
      </x:c>
      <x:c r="C58" s="3" t="str">
        <x:v>Khóa ngoại không tồn tại</x:v>
      </x:c>
      <x:c r="D58" s="3" t="str">
        <x:v>P1</x:v>
      </x:c>
      <x:c r="E58" s="6" t="str">
        <x:v>Not Run</x:v>
      </x:c>
      <x:c r="F58" s="6" t="str"/>
      <x:c r="G58" s="13"/>
      <x:c r="H58" s="6" t="str"/>
      <x:c r="I58" s="6" t="str"/>
      <x:c r="J58" s="6" t="str"/>
      <x:c r="K58" s="6" t="str"/>
      <x:c r="L58" s="6" t="str"/>
      <x:c r="M58" s="6" t="str">
        <x:v>Hoàng Đại Hợp</x:v>
      </x:c>
    </x:row>
    <x:row r="59" ht="44" customHeight="1">
      <x:c r="A59" s="3" t="str">
        <x:v>S1-TC006</x:v>
      </x:c>
      <x:c r="B59" s="3" t="str">
        <x:v>S1-F01 CSDL</x:v>
      </x:c>
      <x:c r="C59" s="3" t="str">
        <x:v>Trường bắt buộc thiếu</x:v>
      </x:c>
      <x:c r="D59" s="3" t="str">
        <x:v>P2</x:v>
      </x:c>
      <x:c r="E59" s="6" t="str">
        <x:v>Not Run</x:v>
      </x:c>
      <x:c r="F59" s="6" t="str"/>
      <x:c r="G59" s="13"/>
      <x:c r="H59" s="6" t="str"/>
      <x:c r="I59" s="6" t="str"/>
      <x:c r="J59" s="6" t="str"/>
      <x:c r="K59" s="6" t="str"/>
      <x:c r="L59" s="6" t="str"/>
      <x:c r="M59" s="6" t="str">
        <x:v>Hoàng Đại Hợp</x:v>
      </x:c>
    </x:row>
    <x:row r="60" ht="44" customHeight="1">
      <x:c r="A60" s="3" t="str">
        <x:v>S1-TC007</x:v>
      </x:c>
      <x:c r="B60" s="3" t="str">
        <x:v>S1-F01 CSDL</x:v>
      </x:c>
      <x:c r="C60" s="3" t="str">
        <x:v>Sai kiểu dữ liệu</x:v>
      </x:c>
      <x:c r="D60" s="3" t="str">
        <x:v>P2</x:v>
      </x:c>
      <x:c r="E60" s="6" t="str">
        <x:v>Not Run</x:v>
      </x:c>
      <x:c r="F60" s="6" t="str"/>
      <x:c r="G60" s="13"/>
      <x:c r="H60" s="6" t="str"/>
      <x:c r="I60" s="6" t="str"/>
      <x:c r="J60" s="6" t="str"/>
      <x:c r="K60" s="6" t="str"/>
      <x:c r="L60" s="6" t="str">
        <x:v>Chưa chốt quy tắc kiểu/SQL mode thì Blocked.</x:v>
      </x:c>
      <x:c r="M60" s="6" t="str">
        <x:v>Hoàng Đại Hợp</x:v>
      </x:c>
    </x:row>
    <x:row r="61" ht="44" customHeight="1">
      <x:c r="A61" s="3" t="str">
        <x:v>S1-TC008</x:v>
      </x:c>
      <x:c r="B61" s="3" t="str">
        <x:v>S1-F01 CSDL</x:v>
      </x:c>
      <x:c r="C61" s="3" t="str">
        <x:v>Dữ liệu tiếng Việt</x:v>
      </x:c>
      <x:c r="D61" s="3" t="str">
        <x:v>P2</x:v>
      </x:c>
      <x:c r="E61" s="6" t="str">
        <x:v>Not Run</x:v>
      </x:c>
      <x:c r="F61" s="6" t="str"/>
      <x:c r="G61" s="13"/>
      <x:c r="H61" s="6" t="str"/>
      <x:c r="I61" s="6" t="str"/>
      <x:c r="J61" s="6" t="str"/>
      <x:c r="K61" s="6" t="str"/>
      <x:c r="L61" s="6" t="str"/>
      <x:c r="M61" s="6" t="str">
        <x:v>Hoàng Đại Hợp</x:v>
      </x:c>
    </x:row>
    <x:row r="62" ht="44" customHeight="1">
      <x:c r="A62" s="3" t="str">
        <x:v>S1-TC009</x:v>
      </x:c>
      <x:c r="B62" s="3" t="str">
        <x:v>S1-F01 CSDL</x:v>
      </x:c>
      <x:c r="C62" s="3" t="str">
        <x:v>Dữ liệu mẫu đầy đủ</x:v>
      </x:c>
      <x:c r="D62" s="3" t="str">
        <x:v>P1</x:v>
      </x:c>
      <x:c r="E62" s="6" t="str">
        <x:v>Not Run</x:v>
      </x:c>
      <x:c r="F62" s="6" t="str"/>
      <x:c r="G62" s="13"/>
      <x:c r="H62" s="6" t="str"/>
      <x:c r="I62" s="6" t="str"/>
      <x:c r="J62" s="6" t="str"/>
      <x:c r="K62" s="6" t="str"/>
      <x:c r="L62" s="6" t="str"/>
      <x:c r="M62" s="6" t="str">
        <x:v>Hoàng Đại Hợp</x:v>
      </x:c>
    </x:row>
    <x:row r="63" ht="44" customHeight="1">
      <x:c r="A63" s="3" t="str">
        <x:v>S1-TC010</x:v>
      </x:c>
      <x:c r="B63" s="3" t="str">
        <x:v>S1-F01 CSDL</x:v>
      </x:c>
      <x:c r="C63" s="3" t="str">
        <x:v>Quy tắc xóa bản ghi cha</x:v>
      </x:c>
      <x:c r="D63" s="3" t="str">
        <x:v>P1</x:v>
      </x:c>
      <x:c r="E63" s="6" t="str">
        <x:v>Not Run</x:v>
      </x:c>
      <x:c r="F63" s="6" t="str"/>
      <x:c r="G63" s="13"/>
      <x:c r="H63" s="6" t="str"/>
      <x:c r="I63" s="6" t="str"/>
      <x:c r="J63" s="6" t="str"/>
      <x:c r="K63" s="6" t="str"/>
      <x:c r="L63" s="6" t="str"/>
      <x:c r="M63" s="6" t="str">
        <x:v>Hoàng Đại Hợp</x:v>
      </x:c>
    </x:row>
    <x:row r="64" ht="44" customHeight="1">
      <x:c r="A64" s="3" t="str">
        <x:v>S1-TC011</x:v>
      </x:c>
      <x:c r="B64" s="3" t="str">
        <x:v>S1-F02 Backend/API</x:v>
      </x:c>
      <x:c r="C64" s="3" t="str">
        <x:v>Khởi động backend</x:v>
      </x:c>
      <x:c r="D64" s="3" t="str">
        <x:v>P1</x:v>
      </x:c>
      <x:c r="E64" s="6" t="str">
        <x:v>Not Run</x:v>
      </x:c>
      <x:c r="F64" s="6" t="str"/>
      <x:c r="G64" s="13"/>
      <x:c r="H64" s="6" t="str"/>
      <x:c r="I64" s="6" t="str"/>
      <x:c r="J64" s="6" t="str"/>
      <x:c r="K64" s="6" t="str"/>
      <x:c r="L64" s="6" t="str"/>
      <x:c r="M64" s="6" t="str">
        <x:v>Hoàng Đại Hợp</x:v>
      </x:c>
    </x:row>
    <x:row r="65" ht="44" customHeight="1">
      <x:c r="A65" s="3" t="str">
        <x:v>S1-TC012</x:v>
      </x:c>
      <x:c r="B65" s="3" t="str">
        <x:v>S1-F02 Backend/API</x:v>
      </x:c>
      <x:c r="C65" s="3" t="str">
        <x:v>Sai cấu hình kết nối DB</x:v>
      </x:c>
      <x:c r="D65" s="3" t="str">
        <x:v>P1</x:v>
      </x:c>
      <x:c r="E65" s="6" t="str">
        <x:v>Not Run</x:v>
      </x:c>
      <x:c r="F65" s="6" t="str"/>
      <x:c r="G65" s="13"/>
      <x:c r="H65" s="6" t="str"/>
      <x:c r="I65" s="6" t="str"/>
      <x:c r="J65" s="6" t="str"/>
      <x:c r="K65" s="6" t="str"/>
      <x:c r="L65" s="6" t="str"/>
      <x:c r="M65" s="6" t="str">
        <x:v>Hoàng Đại Hợp</x:v>
      </x:c>
    </x:row>
    <x:row r="66" ht="44" customHeight="1">
      <x:c r="A66" s="3" t="str">
        <x:v>S1-TC013</x:v>
      </x:c>
      <x:c r="B66" s="3" t="str">
        <x:v>S1-F02 Backend/API</x:v>
      </x:c>
      <x:c r="C66" s="3" t="str">
        <x:v>DB ngừng phục vụ</x:v>
      </x:c>
      <x:c r="D66" s="3" t="str">
        <x:v>P1</x:v>
      </x:c>
      <x:c r="E66" s="6" t="str">
        <x:v>Not Run</x:v>
      </x:c>
      <x:c r="F66" s="6" t="str"/>
      <x:c r="G66" s="13"/>
      <x:c r="H66" s="6" t="str"/>
      <x:c r="I66" s="6" t="str"/>
      <x:c r="J66" s="6" t="str"/>
      <x:c r="K66" s="6" t="str"/>
      <x:c r="L66" s="6" t="str"/>
      <x:c r="M66" s="6" t="str">
        <x:v>Hoàng Đại Hợp</x:v>
      </x:c>
    </x:row>
    <x:row r="67" ht="44" customHeight="1">
      <x:c r="A67" s="3" t="str">
        <x:v>S1-TC014</x:v>
      </x:c>
      <x:c r="B67" s="3" t="str">
        <x:v>S1-F02 Backend/API</x:v>
      </x:c>
      <x:c r="C67" s="3" t="str">
        <x:v>API đọc dữ liệu thành công</x:v>
      </x:c>
      <x:c r="D67" s="3" t="str">
        <x:v>P1</x:v>
      </x:c>
      <x:c r="E67" s="6" t="str">
        <x:v>Not Run</x:v>
      </x:c>
      <x:c r="F67" s="6" t="str"/>
      <x:c r="G67" s="13"/>
      <x:c r="H67" s="6" t="str"/>
      <x:c r="I67" s="6" t="str"/>
      <x:c r="J67" s="6" t="str"/>
      <x:c r="K67" s="6" t="str"/>
      <x:c r="L67" s="6" t="str"/>
      <x:c r="M67" s="6" t="str">
        <x:v>Hoàng Đại Hợp</x:v>
      </x:c>
    </x:row>
    <x:row r="68" ht="44" customHeight="1">
      <x:c r="A68" s="3" t="str">
        <x:v>S1-TC015</x:v>
      </x:c>
      <x:c r="B68" s="3" t="str">
        <x:v>S1-F02 Backend/API</x:v>
      </x:c>
      <x:c r="C68" s="3" t="str">
        <x:v>API danh sách rỗng</x:v>
      </x:c>
      <x:c r="D68" s="3" t="str">
        <x:v>P2</x:v>
      </x:c>
      <x:c r="E68" s="6" t="str">
        <x:v>Not Run</x:v>
      </x:c>
      <x:c r="F68" s="6" t="str"/>
      <x:c r="G68" s="13"/>
      <x:c r="H68" s="6" t="str"/>
      <x:c r="I68" s="6" t="str"/>
      <x:c r="J68" s="6" t="str"/>
      <x:c r="K68" s="6" t="str"/>
      <x:c r="L68" s="6" t="str"/>
      <x:c r="M68" s="6" t="str">
        <x:v>Hoàng Đại Hợp</x:v>
      </x:c>
    </x:row>
    <x:row r="69" ht="44" customHeight="1">
      <x:c r="A69" s="3" t="str">
        <x:v>S1-TC016</x:v>
      </x:c>
      <x:c r="B69" s="3" t="str">
        <x:v>S1-F02 Backend/API</x:v>
      </x:c>
      <x:c r="C69" s="3" t="str">
        <x:v>API chi tiết không tồn tại</x:v>
      </x:c>
      <x:c r="D69" s="3" t="str">
        <x:v>P2</x:v>
      </x:c>
      <x:c r="E69" s="6" t="str">
        <x:v>Not Run</x:v>
      </x:c>
      <x:c r="F69" s="6" t="str"/>
      <x:c r="G69" s="13"/>
      <x:c r="H69" s="6" t="str"/>
      <x:c r="I69" s="6" t="str"/>
      <x:c r="J69" s="6" t="str"/>
      <x:c r="K69" s="6" t="str"/>
      <x:c r="L69" s="6" t="str"/>
      <x:c r="M69" s="6" t="str">
        <x:v>Hoàng Đại Hợp</x:v>
      </x:c>
    </x:row>
    <x:row r="70" ht="44" customHeight="1">
      <x:c r="A70" s="3" t="str">
        <x:v>S1-TC017</x:v>
      </x:c>
      <x:c r="B70" s="3" t="str">
        <x:v>S1-F02 Backend/API</x:v>
      </x:c>
      <x:c r="C70" s="3" t="str">
        <x:v>Tham số sai kiểu</x:v>
      </x:c>
      <x:c r="D70" s="3" t="str">
        <x:v>P1</x:v>
      </x:c>
      <x:c r="E70" s="6" t="str">
        <x:v>Not Run</x:v>
      </x:c>
      <x:c r="F70" s="6" t="str"/>
      <x:c r="G70" s="13"/>
      <x:c r="H70" s="6" t="str"/>
      <x:c r="I70" s="6" t="str"/>
      <x:c r="J70" s="6" t="str"/>
      <x:c r="K70" s="6" t="str"/>
      <x:c r="L70" s="6" t="str"/>
      <x:c r="M70" s="6" t="str">
        <x:v>Hoàng Đại Hợp</x:v>
      </x:c>
    </x:row>
    <x:row r="71" ht="44" customHeight="1">
      <x:c r="A71" s="3" t="str">
        <x:v>S1-TC018</x:v>
      </x:c>
      <x:c r="B71" s="3" t="str">
        <x:v>S1-F02 Backend/API</x:v>
      </x:c>
      <x:c r="C71" s="3" t="str">
        <x:v>Thiếu tham số bắt buộc</x:v>
      </x:c>
      <x:c r="D71" s="3" t="str">
        <x:v>P2</x:v>
      </x:c>
      <x:c r="E71" s="6" t="str">
        <x:v>Not Run</x:v>
      </x:c>
      <x:c r="F71" s="6" t="str"/>
      <x:c r="G71" s="13"/>
      <x:c r="H71" s="6" t="str"/>
      <x:c r="I71" s="6" t="str"/>
      <x:c r="J71" s="6" t="str"/>
      <x:c r="K71" s="6" t="str"/>
      <x:c r="L71" s="6" t="str"/>
      <x:c r="M71" s="6" t="str">
        <x:v>Hoàng Đại Hợp</x:v>
      </x:c>
    </x:row>
    <x:row r="72" ht="44" customHeight="1">
      <x:c r="A72" s="3" t="str">
        <x:v>S1-TC019</x:v>
      </x:c>
      <x:c r="B72" s="3" t="str">
        <x:v>S1-F02 Backend/API</x:v>
      </x:c>
      <x:c r="C72" s="3" t="str">
        <x:v>JSON không hợp lệ</x:v>
      </x:c>
      <x:c r="D72" s="3" t="str">
        <x:v>P2</x:v>
      </x:c>
      <x:c r="E72" s="6" t="str">
        <x:v>Not Run</x:v>
      </x:c>
      <x:c r="F72" s="6" t="str"/>
      <x:c r="G72" s="13"/>
      <x:c r="H72" s="6" t="str"/>
      <x:c r="I72" s="6" t="str"/>
      <x:c r="J72" s="6" t="str"/>
      <x:c r="K72" s="6" t="str"/>
      <x:c r="L72" s="6" t="str"/>
      <x:c r="M72" s="6" t="str">
        <x:v>Hoàng Đại Hợp</x:v>
      </x:c>
    </x:row>
    <x:row r="73" ht="44" customHeight="1">
      <x:c r="A73" s="3" t="str">
        <x:v>S1-TC020</x:v>
      </x:c>
      <x:c r="B73" s="3" t="str">
        <x:v>S1-F02 Backend/API</x:v>
      </x:c>
      <x:c r="C73" s="3" t="str">
        <x:v>Đường dẫn API không tồn tại</x:v>
      </x:c>
      <x:c r="D73" s="3" t="str">
        <x:v>P2</x:v>
      </x:c>
      <x:c r="E73" s="6" t="str">
        <x:v>Not Run</x:v>
      </x:c>
      <x:c r="F73" s="6" t="str"/>
      <x:c r="G73" s="13"/>
      <x:c r="H73" s="6" t="str"/>
      <x:c r="I73" s="6" t="str"/>
      <x:c r="J73" s="6" t="str"/>
      <x:c r="K73" s="6" t="str"/>
      <x:c r="L73" s="6" t="str"/>
      <x:c r="M73" s="6" t="str">
        <x:v>Hoàng Đại Hợp</x:v>
      </x:c>
    </x:row>
    <x:row r="74" ht="44" customHeight="1">
      <x:c r="A74" s="3" t="str">
        <x:v>S1-TC021</x:v>
      </x:c>
      <x:c r="B74" s="3" t="str">
        <x:v>S1-F02 Backend/API</x:v>
      </x:c>
      <x:c r="C74" s="3" t="str">
        <x:v>Không lộ cấu hình trong lỗi</x:v>
      </x:c>
      <x:c r="D74" s="3" t="str">
        <x:v>P1</x:v>
      </x:c>
      <x:c r="E74" s="6" t="str">
        <x:v>Not Run</x:v>
      </x:c>
      <x:c r="F74" s="6" t="str"/>
      <x:c r="G74" s="13"/>
      <x:c r="H74" s="6" t="str"/>
      <x:c r="I74" s="6" t="str"/>
      <x:c r="J74" s="6" t="str"/>
      <x:c r="K74" s="6" t="str"/>
      <x:c r="L74" s="6" t="str"/>
      <x:c r="M74" s="6" t="str">
        <x:v>Hoàng Đại Hợp</x:v>
      </x:c>
    </x:row>
    <x:row r="75" ht="44" customHeight="1">
      <x:c r="A75" s="3" t="str">
        <x:v>S1-TC022</x:v>
      </x:c>
      <x:c r="B75" s="3" t="str">
        <x:v>S1-F03 Frontend</x:v>
      </x:c>
      <x:c r="C75" s="3" t="str">
        <x:v>Trang chính mở được</x:v>
      </x:c>
      <x:c r="D75" s="3" t="str">
        <x:v>P1</x:v>
      </x:c>
      <x:c r="E75" s="6" t="str">
        <x:v>Not Run</x:v>
      </x:c>
      <x:c r="F75" s="6" t="str"/>
      <x:c r="G75" s="13"/>
      <x:c r="H75" s="6" t="str"/>
      <x:c r="I75" s="6" t="str"/>
      <x:c r="J75" s="6" t="str"/>
      <x:c r="K75" s="6" t="str"/>
      <x:c r="L75" s="6" t="str"/>
      <x:c r="M75" s="6" t="str">
        <x:v>Hoàng Đại Hợp</x:v>
      </x:c>
    </x:row>
    <x:row r="76" ht="57" customHeight="1">
      <x:c r="A76" s="3" t="str">
        <x:v>S1-TC023</x:v>
      </x:c>
      <x:c r="B76" s="3" t="str">
        <x:v>S1-F03 Frontend</x:v>
      </x:c>
      <x:c r="C76" s="3" t="str">
        <x:v>Menu đến đúng màn hình</x:v>
      </x:c>
      <x:c r="D76" s="3" t="str">
        <x:v>P1</x:v>
      </x:c>
      <x:c r="E76" s="6" t="str">
        <x:v>Not Run</x:v>
      </x:c>
      <x:c r="F76" s="6" t="str"/>
      <x:c r="G76" s="13"/>
      <x:c r="H76" s="6" t="str"/>
      <x:c r="I76" s="6" t="str"/>
      <x:c r="J76" s="6" t="str"/>
      <x:c r="K76" s="6" t="str"/>
      <x:c r="L76" s="6" t="str">
        <x:v>Ghi từng menu trong bằng chứng; thất bại một menu thì ca Fail.</x:v>
      </x:c>
      <x:c r="M76" s="6" t="str">
        <x:v>Hoàng Đại Hợp</x:v>
      </x:c>
    </x:row>
    <x:row r="77" ht="44" customHeight="1">
      <x:c r="A77" s="3" t="str">
        <x:v>S1-TC024</x:v>
      </x:c>
      <x:c r="B77" s="3" t="str">
        <x:v>S1-F03 Frontend</x:v>
      </x:c>
      <x:c r="C77" s="3" t="str">
        <x:v>Back và Forward của trình duyệt</x:v>
      </x:c>
      <x:c r="D77" s="3" t="str">
        <x:v>P2</x:v>
      </x:c>
      <x:c r="E77" s="6" t="str">
        <x:v>Not Run</x:v>
      </x:c>
      <x:c r="F77" s="6" t="str"/>
      <x:c r="G77" s="13"/>
      <x:c r="H77" s="6" t="str"/>
      <x:c r="I77" s="6" t="str"/>
      <x:c r="J77" s="6" t="str"/>
      <x:c r="K77" s="6" t="str"/>
      <x:c r="L77" s="6" t="str"/>
      <x:c r="M77" s="6" t="str">
        <x:v>Hoàng Đại Hợp</x:v>
      </x:c>
    </x:row>
    <x:row r="78" ht="44" customHeight="1">
      <x:c r="A78" s="3" t="str">
        <x:v>S1-TC025</x:v>
      </x:c>
      <x:c r="B78" s="3" t="str">
        <x:v>S1-F03 Frontend</x:v>
      </x:c>
      <x:c r="C78" s="3" t="str">
        <x:v>Mở trực tiếp URL con</x:v>
      </x:c>
      <x:c r="D78" s="3" t="str">
        <x:v>P2</x:v>
      </x:c>
      <x:c r="E78" s="6" t="str">
        <x:v>Not Run</x:v>
      </x:c>
      <x:c r="F78" s="6" t="str"/>
      <x:c r="G78" s="13"/>
      <x:c r="H78" s="6" t="str"/>
      <x:c r="I78" s="6" t="str"/>
      <x:c r="J78" s="6" t="str"/>
      <x:c r="K78" s="6" t="str"/>
      <x:c r="L78" s="6" t="str"/>
      <x:c r="M78" s="6" t="str">
        <x:v>Hoàng Đại Hợp</x:v>
      </x:c>
    </x:row>
    <x:row r="79" ht="44" customHeight="1">
      <x:c r="A79" s="3" t="str">
        <x:v>S1-TC026</x:v>
      </x:c>
      <x:c r="B79" s="3" t="str">
        <x:v>S1-F03 Frontend</x:v>
      </x:c>
      <x:c r="C79" s="3" t="str">
        <x:v>Modal dùng chung</x:v>
      </x:c>
      <x:c r="D79" s="3" t="str">
        <x:v>P2</x:v>
      </x:c>
      <x:c r="E79" s="6" t="str">
        <x:v>Not Run</x:v>
      </x:c>
      <x:c r="F79" s="6" t="str"/>
      <x:c r="G79" s="13"/>
      <x:c r="H79" s="6" t="str"/>
      <x:c r="I79" s="6" t="str"/>
      <x:c r="J79" s="6" t="str"/>
      <x:c r="K79" s="6" t="str"/>
      <x:c r="L79" s="6" t="str"/>
      <x:c r="M79" s="6" t="str">
        <x:v>Hoàng Đại Hợp</x:v>
      </x:c>
    </x:row>
    <x:row r="80" ht="44" customHeight="1">
      <x:c r="A80" s="3" t="str">
        <x:v>S1-TC027</x:v>
      </x:c>
      <x:c r="B80" s="3" t="str">
        <x:v>S1-F03 Frontend</x:v>
      </x:c>
      <x:c r="C80" s="3" t="str">
        <x:v>Form nền tảng bắt buộc</x:v>
      </x:c>
      <x:c r="D80" s="3" t="str">
        <x:v>P2</x:v>
      </x:c>
      <x:c r="E80" s="6" t="str">
        <x:v>Not Run</x:v>
      </x:c>
      <x:c r="F80" s="6" t="str"/>
      <x:c r="G80" s="13"/>
      <x:c r="H80" s="6" t="str"/>
      <x:c r="I80" s="6" t="str"/>
      <x:c r="J80" s="6" t="str"/>
      <x:c r="K80" s="6" t="str"/>
      <x:c r="L80" s="6" t="str"/>
      <x:c r="M80" s="6" t="str">
        <x:v>Hoàng Đại Hợp</x:v>
      </x:c>
    </x:row>
    <x:row r="81" ht="44" customHeight="1">
      <x:c r="A81" s="3" t="str">
        <x:v>S1-TC028</x:v>
      </x:c>
      <x:c r="B81" s="3" t="str">
        <x:v>S1-F03 Frontend</x:v>
      </x:c>
      <x:c r="C81" s="3" t="str">
        <x:v>Bố cục desktop</x:v>
      </x:c>
      <x:c r="D81" s="3" t="str">
        <x:v>P2</x:v>
      </x:c>
      <x:c r="E81" s="6" t="str">
        <x:v>Not Run</x:v>
      </x:c>
      <x:c r="F81" s="6" t="str"/>
      <x:c r="G81" s="13"/>
      <x:c r="H81" s="6" t="str"/>
      <x:c r="I81" s="6" t="str"/>
      <x:c r="J81" s="6" t="str"/>
      <x:c r="K81" s="6" t="str"/>
      <x:c r="L81" s="6" t="str"/>
      <x:c r="M81" s="6" t="str">
        <x:v>Hoàng Đại Hợp</x:v>
      </x:c>
    </x:row>
    <x:row r="82" ht="44" customHeight="1">
      <x:c r="A82" s="3" t="str">
        <x:v>S1-TC029</x:v>
      </x:c>
      <x:c r="B82" s="3" t="str">
        <x:v>S1-F03 Frontend</x:v>
      </x:c>
      <x:c r="C82" s="3" t="str">
        <x:v>Bố cục điện thoại</x:v>
      </x:c>
      <x:c r="D82" s="3" t="str">
        <x:v>P1</x:v>
      </x:c>
      <x:c r="E82" s="6" t="str">
        <x:v>Not Run</x:v>
      </x:c>
      <x:c r="F82" s="6" t="str"/>
      <x:c r="G82" s="13"/>
      <x:c r="H82" s="6" t="str"/>
      <x:c r="I82" s="6" t="str"/>
      <x:c r="J82" s="6" t="str"/>
      <x:c r="K82" s="6" t="str"/>
      <x:c r="L82" s="6" t="str"/>
      <x:c r="M82" s="6" t="str">
        <x:v>Hoàng Đại Hợp</x:v>
      </x:c>
    </x:row>
    <x:row r="83" ht="44" customHeight="1">
      <x:c r="A83" s="3" t="str">
        <x:v>S1-TC030</x:v>
      </x:c>
      <x:c r="B83" s="3" t="str">
        <x:v>S1-F03 Frontend</x:v>
      </x:c>
      <x:c r="C83" s="3" t="str">
        <x:v>Hiển thị trên Edge</x:v>
      </x:c>
      <x:c r="D83" s="3" t="str">
        <x:v>P2</x:v>
      </x:c>
      <x:c r="E83" s="6" t="str">
        <x:v>Not Run</x:v>
      </x:c>
      <x:c r="F83" s="6" t="str"/>
      <x:c r="G83" s="13"/>
      <x:c r="H83" s="6" t="str"/>
      <x:c r="I83" s="6" t="str"/>
      <x:c r="J83" s="6" t="str"/>
      <x:c r="K83" s="6" t="str"/>
      <x:c r="L83" s="6" t="str"/>
      <x:c r="M83" s="6" t="str">
        <x:v>Hoàng Đại Hợp</x:v>
      </x:c>
    </x:row>
    <x:row r="84" ht="44" customHeight="1">
      <x:c r="A84" s="3" t="str">
        <x:v>S1-TC031</x:v>
      </x:c>
      <x:c r="B84" s="3" t="str">
        <x:v>S1-F04 Tích hợp</x:v>
      </x:c>
      <x:c r="C84" s="3" t="str">
        <x:v>UI lấy dữ liệu thực từ API</x:v>
      </x:c>
      <x:c r="D84" s="3" t="str">
        <x:v>P1</x:v>
      </x:c>
      <x:c r="E84" s="6" t="str">
        <x:v>Not Run</x:v>
      </x:c>
      <x:c r="F84" s="6" t="str"/>
      <x:c r="G84" s="13"/>
      <x:c r="H84" s="6" t="str"/>
      <x:c r="I84" s="6" t="str"/>
      <x:c r="J84" s="6" t="str"/>
      <x:c r="K84" s="6" t="str"/>
      <x:c r="L84" s="6" t="str"/>
      <x:c r="M84" s="6" t="str">
        <x:v>Hoàng Đại Hợp</x:v>
      </x:c>
    </x:row>
    <x:row r="85" ht="44" customHeight="1">
      <x:c r="A85" s="3" t="str">
        <x:v>S1-TC032</x:v>
      </x:c>
      <x:c r="B85" s="3" t="str">
        <x:v>S1-F04 Tích hợp</x:v>
      </x:c>
      <x:c r="C85" s="3" t="str">
        <x:v>Tải lại không mất dữ liệu</x:v>
      </x:c>
      <x:c r="D85" s="3" t="str">
        <x:v>P1</x:v>
      </x:c>
      <x:c r="E85" s="6" t="str">
        <x:v>Not Run</x:v>
      </x:c>
      <x:c r="F85" s="6" t="str"/>
      <x:c r="G85" s="13"/>
      <x:c r="H85" s="6" t="str"/>
      <x:c r="I85" s="6" t="str"/>
      <x:c r="J85" s="6" t="str"/>
      <x:c r="K85" s="6" t="str"/>
      <x:c r="L85" s="6" t="str"/>
      <x:c r="M85" s="6" t="str">
        <x:v>Hoàng Đại Hợp</x:v>
      </x:c>
    </x:row>
    <x:row r="86" ht="44" customHeight="1">
      <x:c r="A86" s="3" t="str">
        <x:v>S1-TC033</x:v>
      </x:c>
      <x:c r="B86" s="3" t="str">
        <x:v>S1-F04 Tích hợp</x:v>
      </x:c>
      <x:c r="C86" s="3" t="str">
        <x:v>UI khi danh sách rỗng</x:v>
      </x:c>
      <x:c r="D86" s="3" t="str">
        <x:v>P2</x:v>
      </x:c>
      <x:c r="E86" s="6" t="str">
        <x:v>Not Run</x:v>
      </x:c>
      <x:c r="F86" s="6" t="str"/>
      <x:c r="G86" s="13"/>
      <x:c r="H86" s="6" t="str"/>
      <x:c r="I86" s="6" t="str"/>
      <x:c r="J86" s="6" t="str"/>
      <x:c r="K86" s="6" t="str"/>
      <x:c r="L86" s="6" t="str"/>
      <x:c r="M86" s="6" t="str">
        <x:v>Hoàng Đại Hợp</x:v>
      </x:c>
    </x:row>
    <x:row r="87" ht="44" customHeight="1">
      <x:c r="A87" s="3" t="str">
        <x:v>S1-TC034</x:v>
      </x:c>
      <x:c r="B87" s="3" t="str">
        <x:v>S1-F04 Tích hợp</x:v>
      </x:c>
      <x:c r="C87" s="3" t="str">
        <x:v>UI khi request chậm</x:v>
      </x:c>
      <x:c r="D87" s="3" t="str">
        <x:v>P2</x:v>
      </x:c>
      <x:c r="E87" s="6" t="str">
        <x:v>Not Run</x:v>
      </x:c>
      <x:c r="F87" s="6" t="str"/>
      <x:c r="G87" s="13"/>
      <x:c r="H87" s="6" t="str"/>
      <x:c r="I87" s="6" t="str"/>
      <x:c r="J87" s="6" t="str"/>
      <x:c r="K87" s="6" t="str"/>
      <x:c r="L87" s="6" t="str"/>
      <x:c r="M87" s="6" t="str">
        <x:v>Hoàng Đại Hợp</x:v>
      </x:c>
    </x:row>
    <x:row r="88" ht="44" customHeight="1">
      <x:c r="A88" s="3" t="str">
        <x:v>S1-TC035</x:v>
      </x:c>
      <x:c r="B88" s="3" t="str">
        <x:v>S1-F04 Tích hợp</x:v>
      </x:c>
      <x:c r="C88" s="3" t="str">
        <x:v>UI khi backend dừng</x:v>
      </x:c>
      <x:c r="D88" s="3" t="str">
        <x:v>P1</x:v>
      </x:c>
      <x:c r="E88" s="6" t="str">
        <x:v>Not Run</x:v>
      </x:c>
      <x:c r="F88" s="6" t="str"/>
      <x:c r="G88" s="13"/>
      <x:c r="H88" s="6" t="str"/>
      <x:c r="I88" s="6" t="str"/>
      <x:c r="J88" s="6" t="str"/>
      <x:c r="K88" s="6" t="str"/>
      <x:c r="L88" s="6" t="str"/>
      <x:c r="M88" s="6" t="str">
        <x:v>Hoàng Đại Hợp</x:v>
      </x:c>
    </x:row>
    <x:row r="89" ht="44" customHeight="1">
      <x:c r="A89" s="3" t="str">
        <x:v>S1-TC036</x:v>
      </x:c>
      <x:c r="B89" s="3" t="str">
        <x:v>S1-F04 Tích hợp</x:v>
      </x:c>
      <x:c r="C89" s="3" t="str">
        <x:v>Kết nối phục hồi</x:v>
      </x:c>
      <x:c r="D89" s="3" t="str">
        <x:v>P1</x:v>
      </x:c>
      <x:c r="E89" s="6" t="str">
        <x:v>Not Run</x:v>
      </x:c>
      <x:c r="F89" s="6" t="str"/>
      <x:c r="G89" s="13"/>
      <x:c r="H89" s="6" t="str"/>
      <x:c r="I89" s="6" t="str"/>
      <x:c r="J89" s="6" t="str"/>
      <x:c r="K89" s="6" t="str"/>
      <x:c r="L89" s="6" t="str"/>
      <x:c r="M89" s="6" t="str">
        <x:v>Hoàng Đại Hợp</x:v>
      </x:c>
    </x:row>
    <x:row r="90" ht="44" customHeight="1">
      <x:c r="A90" s="3" t="str">
        <x:v>S1-TC037</x:v>
      </x:c>
      <x:c r="B90" s="3" t="str">
        <x:v>S1-F04 Tích hợp</x:v>
      </x:c>
      <x:c r="C90" s="3" t="str">
        <x:v>Proxy/CORS đúng origin local</x:v>
      </x:c>
      <x:c r="D90" s="3" t="str">
        <x:v>P1</x:v>
      </x:c>
      <x:c r="E90" s="6" t="str">
        <x:v>Not Run</x:v>
      </x:c>
      <x:c r="F90" s="6" t="str"/>
      <x:c r="G90" s="13"/>
      <x:c r="H90" s="6" t="str"/>
      <x:c r="I90" s="6" t="str"/>
      <x:c r="J90" s="6" t="str"/>
      <x:c r="K90" s="6" t="str"/>
      <x:c r="L90" s="6" t="str"/>
      <x:c r="M90" s="6" t="str">
        <x:v>Hoàng Đại Hợp</x:v>
      </x:c>
    </x:row>
    <x:row r="91" ht="44" customHeight="1">
      <x:c r="A91" s="3" t="str">
        <x:v>S1-TC038</x:v>
      </x:c>
      <x:c r="B91" s="3" t="str">
        <x:v>S1-F04 Tích hợp</x:v>
      </x:c>
      <x:c r="C91" s="3" t="str">
        <x:v>Smoke sau khởi động lại</x:v>
      </x:c>
      <x:c r="D91" s="3" t="str">
        <x:v>P1</x:v>
      </x:c>
      <x:c r="E91" s="6" t="str">
        <x:v>Not Run</x:v>
      </x:c>
      <x:c r="F91" s="6" t="str"/>
      <x:c r="G91" s="13"/>
      <x:c r="H91" s="6" t="str"/>
      <x:c r="I91" s="6" t="str"/>
      <x:c r="J91" s="6" t="str"/>
      <x:c r="K91" s="6" t="str"/>
      <x:c r="L91" s="6" t="str"/>
      <x:c r="M91" s="6" t="str">
        <x:v>Hoàng Đại Hợp</x:v>
      </x:c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>
      <x:c r="A95" s="5" t="str">
        <x:v>Lỗi và tồn tại trong sprint</x:v>
      </x:c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 ht="34" customHeight="1">
      <x:c r="A97" s="10" t="str">
        <x:v>Mã lỗi</x:v>
      </x:c>
      <x:c r="B97" s="10" t="str">
        <x:v>Mã ca liên quan</x:v>
      </x:c>
      <x:c r="C97" s="10" t="str">
        <x:v>Mô tả lỗi</x:v>
      </x:c>
      <x:c r="D97" s="10" t="str">
        <x:v>Mức độ</x:v>
      </x:c>
      <x:c r="E97" s="10" t="str">
        <x:v>Ảnh hưởng</x:v>
      </x:c>
      <x:c r="F97" s="10" t="str">
        <x:v>Phương án xử lý</x:v>
      </x:c>
      <x:c r="G97" s="10" t="str">
        <x:v>Người sửa</x:v>
      </x:c>
      <x:c r="H97" s="10" t="str">
        <x:v>Trạng thái lỗi</x:v>
      </x:c>
      <x:c r="I97" s="10" t="str">
        <x:v>Build phát hiện</x:v>
      </x:c>
      <x:c r="J97" s="10" t="str">
        <x:v>Build sửa</x:v>
      </x:c>
      <x:c r="K97" s="10" t="str">
        <x:v>Kết quả retest</x:v>
      </x:c>
      <x:c r="L97" s="10" t="str">
        <x:v>Bằng chứng</x:v>
      </x:c>
      <x:c r="M97" s="10" t="str">
        <x:v>Quyết định / hạn xử lý</x:v>
      </x:c>
    </x:row>
    <x:row r="98" ht="60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</x:row>
    <x:row r="99" ht="60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</x:row>
    <x:row r="100" ht="60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</x:row>
    <x:row r="101" ht="60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</x:row>
    <x:row r="102" ht="60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</x:row>
    <x:row r="103" ht="60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</x:row>
    <x:row r="104" ht="60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</x:row>
    <x:row r="105" ht="60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</x:row>
    <x:row r="106" ht="60" customHeight="1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</x:row>
    <x:row r="107" ht="60" customHeight="1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</x:row>
    <x:row r="108" ht="60" customHeight="1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</x:row>
    <x:row r="109" ht="60" customHeight="1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</x:row>
    <x:row r="110" ht="60" customHeight="1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</x:row>
    <x:row r="111" ht="60" customHeight="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</x:row>
    <x:row r="112" ht="60" customHeight="1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</x:row>
    <x:row r="113" ht="60" customHeight="1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</x:row>
    <x:row r="114" ht="60" customHeight="1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</x:row>
    <x:row r="115" ht="60" customHeight="1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</x:row>
    <x:row r="116" ht="60" customHeight="1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</x:row>
    <x:row r="117" ht="60" customHeight="1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>
      <x:c r="A119" s="3" t="str">
        <x:v>Nguồn</x:v>
      </x:c>
      <x:c r="B119" s="14" t="str">
        <x:v>SmartLease_AI_Test_Cases_Sprint_1.xlsx (Tong quan, Test cases, Loi); Test Plan Sprint 1 v1.0. Sao chép số liệu theo bản nguồn ngày 03/10/2026.</x:v>
      </x:c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>
      <x:c r="A120" s="3" t="str">
        <x:v>Thêm dòng</x:v>
      </x:c>
      <x:c r="B120" s="14" t="str">
        <x:v>Khi thêm ca/lỗi, mở rộng vùng công thức tổng hợp tương ứng. Mã ca và mã lỗi phải duy nhất.</x:v>
      </x:c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</x:sheetData>
  <x:conditionalFormatting sqref="E54:E91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Pass"/>
  </x:conditionalFormatting>
  <x:dataValidations count="5">
    <x:dataValidation type="list" sqref="E20">
      <x:formula1>"Chưa đánh giá,Chưa đạt,Đạt có điều kiện,Đạt"</x:formula1>
    </x:dataValidation>
    <x:dataValidation type="list" sqref="E54:E91">
      <x:formula1>"Not Run,Pass,Fail,Blocked,N/A"</x:formula1>
    </x:dataValidation>
    <x:dataValidation type="list" sqref="K54:K91">
      <x:formula1>"Chưa retest,Pass,Fail,Blocked,N/A"</x:formula1>
    </x:dataValidation>
    <x:dataValidation type="list" sqref="D98:D117">
      <x:formula1>"Nghiêm trọng,Lớn,Vừa,Nhỏ"</x:formula1>
    </x:dataValidation>
    <x:dataValidation type="list" sqref="H98:H117">
      <x:formula1>"Mới,Đã xác nhận,Đang sửa,Chờ kiểm thử lại,Đóng,Mở lại"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72d8bb9ae350414d"/>
    <x:tablePart xmlns:r="http://schemas.openxmlformats.org/officeDocument/2006/relationships" r:id="R49cae574b3d34d90"/>
  </x:tableParts>
</x:worksheet>
</file>

<file path=xl/worksheets/sheet2.xml><?xml version="1.0" encoding="utf-8"?>
<x:worksheet xmlns:x="http://schemas.openxmlformats.org/spreadsheetml/2006/main">
  <x:sheetPr>
    <x:tabColor rgb="FF263E63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30" hidden="0" customWidth="1"/>
    <x:col min="2" max="2" width="32" hidden="0" customWidth="1"/>
    <x:col min="3" max="3" width="47" hidden="0" customWidth="1"/>
    <x:col min="4" max="4" width="30" hidden="0" customWidth="1"/>
    <x:col min="5" max="5" width="24" hidden="0" customWidth="1"/>
    <x:col min="6" max="6" width="50" hidden="0" customWidth="1"/>
    <x:col min="7" max="7" width="22" hidden="0" customWidth="1"/>
    <x:col min="8" max="8" width="63" hidden="0" customWidth="1"/>
    <x:col min="9" max="9" width="28" hidden="0" customWidth="1"/>
    <x:col min="10" max="10" width="24" hidden="0" customWidth="1"/>
    <x:col min="11" max="11" width="32" hidden="0" customWidth="1"/>
    <x:col min="12" max="12" width="32" hidden="0" customWidth="1"/>
    <x:col min="13" max="13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5" t="str">
        <x:v>SMARTLEASE AI – TEST REPORT SPRINT 2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0" customHeight="1">
      <x:c r="A4" s="3" t="str">
        <x:v>Người kiểm thử</x:v>
      </x:c>
      <x:c r="B4" s="3" t="str">
        <x:v>Hoàng Đại Hợp</x:v>
      </x:c>
      <x:c r="C4" s="3"/>
      <x:c r="D4" s="3" t="str">
        <x:v>Từ ngày thực hiện</x:v>
      </x:c>
      <x:c r="E4" s="7"/>
      <x:c r="F4" s="3"/>
      <x:c r="G4" s="3"/>
      <x:c r="H4" s="3"/>
      <x:c r="I4" s="3"/>
      <x:c r="J4" s="3"/>
      <x:c r="K4" s="3"/>
      <x:c r="L4" s="3"/>
      <x:c r="M4" s="3"/>
    </x:row>
    <x:row r="5" ht="30" customHeight="1">
      <x:c r="A5" s="3" t="str">
        <x:v>Môi trường</x:v>
      </x:c>
      <x:c r="B5" s="3" t="str">
        <x:v>Localhost</x:v>
      </x:c>
      <x:c r="C5" s="3"/>
      <x:c r="D5" s="3" t="str">
        <x:v>Đến ngày thực hiện</x:v>
      </x:c>
      <x:c r="E5" s="7"/>
      <x:c r="F5" s="3"/>
      <x:c r="G5" s="3"/>
      <x:c r="H5" s="3"/>
      <x:c r="I5" s="3"/>
      <x:c r="J5" s="3"/>
      <x:c r="K5" s="3"/>
      <x:c r="L5" s="3"/>
      <x:c r="M5" s="3"/>
    </x:row>
    <x:row r="6" ht="30" customHeight="1">
      <x:c r="A6" s="3" t="str">
        <x:v>Sprint theo kế hoạch</x:v>
      </x:c>
      <x:c r="B6" s="3" t="str">
        <x:v>13/09–30/09/2026</x:v>
      </x:c>
      <x:c r="C6" s="3"/>
      <x:c r="D6" s="3" t="str">
        <x:v>Build/commit</x:v>
      </x:c>
      <x:c r="E6" s="6" t="str"/>
      <x:c r="F6" s="3"/>
      <x:c r="G6" s="3"/>
      <x:c r="H6" s="3"/>
      <x:c r="I6" s="3"/>
      <x:c r="J6" s="3"/>
      <x:c r="K6" s="3"/>
      <x:c r="L6" s="3"/>
      <x:c r="M6" s="3"/>
    </x:row>
    <x:row r="7" ht="30" customHeight="1">
      <x:c r="A7" s="3" t="str">
        <x:v>Nguồn kết quả</x:v>
      </x:c>
      <x:c r="B7" s="3" t="str">
        <x:f>IF(B12=0,"Chưa có ca đã chạy","Kết quả cập nhật trong báo cáo")</x:f>
        <x:v>Chưa có ca đã chạy</x:v>
      </x:c>
      <x:c r="C7" s="3"/>
      <x:c r="D7" s="3" t="str">
        <x:v>Ngày lập báo cáo</x:v>
      </x:c>
      <x:c r="E7" s="7"/>
      <x:c r="F7" s="3"/>
      <x:c r="G7" s="3"/>
      <x:c r="H7" s="3"/>
      <x:c r="I7" s="3"/>
      <x:c r="J7" s="3"/>
      <x:c r="K7" s="3"/>
      <x:c r="L7" s="3"/>
      <x:c r="M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</x:row>
    <x:row r="9" ht="34" customHeight="1">
      <x:c r="A9" s="10" t="str">
        <x:v>KẾT QUẢ KIỂM THỬ</x:v>
      </x:c>
      <x:c r="B9" s="10" t="str">
        <x:v>Số ca / tỷ lệ</x:v>
      </x:c>
      <x:c r="C9" s="3"/>
      <x:c r="D9" s="10" t="str">
        <x:v>ĐIỀU KIỆN VÀ LỖI</x:v>
      </x:c>
      <x:c r="E9" s="10" t="str">
        <x:v>Số ca / trạng thái</x:v>
      </x:c>
      <x:c r="F9" s="3"/>
      <x:c r="G9" s="9" t="str">
        <x:v>HƯỚNG DẪN</x:v>
      </x:c>
      <x:c r="H9" s="9" t="str">
        <x:v>Nội dung</x:v>
      </x:c>
      <x:c r="I9" s="3"/>
      <x:c r="J9" s="3"/>
      <x:c r="K9" s="3"/>
      <x:c r="L9" s="3"/>
      <x:c r="M9" s="3"/>
    </x:row>
    <x:row r="10" ht="38" customHeight="1">
      <x:c r="A10" s="3" t="str">
        <x:v>Tổng ca thiết kế</x:v>
      </x:c>
      <x:c r="B10" s="3" t="n">
        <x:f>COUNTA($A$54:$A$195)</x:f>
        <x:v>142</x:v>
      </x:c>
      <x:c r="C10" s="3"/>
      <x:c r="D10" s="3" t="str">
        <x:v>P1 trong phạm vi</x:v>
      </x:c>
      <x:c r="E10" s="3" t="n">
        <x:f>COUNTIFS($D$54:$D$195,"P1",$E$54:$E$195,"&lt;&gt;N/A")</x:f>
        <x:v>61</x:v>
      </x:c>
      <x:c r="F10" s="3"/>
      <x:c r="G10" s="3" t="str">
        <x:v>Phạm vi</x:v>
      </x:c>
      <x:c r="H10" s="3" t="str">
        <x:v>Báo cáo cho 142 ca trong bộ Test Case Sprint 2.</x:v>
      </x:c>
      <x:c r="I10" s="3"/>
      <x:c r="J10" s="3"/>
      <x:c r="K10" s="3"/>
      <x:c r="L10" s="3"/>
      <x:c r="M10" s="3"/>
    </x:row>
    <x:row r="11" ht="42" customHeight="1">
      <x:c r="A11" s="3" t="str">
        <x:v>Trong phạm vi</x:v>
      </x:c>
      <x:c r="B11" s="3" t="n">
        <x:f>B10-B17</x:f>
        <x:v>142</x:v>
      </x:c>
      <x:c r="C11" s="3"/>
      <x:c r="D11" s="3" t="str">
        <x:v>P1 đã Pass</x:v>
      </x:c>
      <x:c r="E11" s="3" t="n">
        <x:f>COUNTIFS($D$54:$D$195,"P1",$E$54:$E$195,"Pass")</x:f>
        <x:v>0</x:v>
      </x:c>
      <x:c r="F11" s="3"/>
      <x:c r="G11" s="3" t="str">
        <x:v>Cập nhật</x:v>
      </x:c>
      <x:c r="H11" s="3" t="str">
        <x:v>Điền E:M tại bảng kết quả từ dòng 54. Sao chép theo mã ca từ file Test Case; không có liên kết tự động giữa các file.</x:v>
      </x:c>
      <x:c r="I11" s="3"/>
      <x:c r="J11" s="3"/>
      <x:c r="K11" s="3"/>
      <x:c r="L11" s="3"/>
      <x:c r="M11" s="3"/>
    </x:row>
    <x:row r="12" ht="42" customHeight="1">
      <x:c r="A12" s="3" t="str">
        <x:v>Đã chạy (Pass + Fail)</x:v>
      </x:c>
      <x:c r="B12" s="3" t="n">
        <x:f>SUM(B13:B14)</x:f>
        <x:v>0</x:v>
      </x:c>
      <x:c r="C12" s="3"/>
      <x:c r="D12" s="3" t="str">
        <x:v>P1 chưa Pass</x:v>
      </x:c>
      <x:c r="E12" s="3" t="n">
        <x:f>E10-E11</x:f>
        <x:v>61</x:v>
      </x:c>
      <x:c r="F12" s="3"/>
      <x:c r="G12" s="3" t="str">
        <x:v>Trạng thái</x:v>
      </x:c>
      <x:c r="H12" s="3" t="str">
        <x:v>Not Run: chưa chạy; Pass: đúng mọi mong đợi; Fail: kết quả sai; Blocked: chưa thể chạy; N/A: ngoài phạm vi đã xác nhận.</x:v>
      </x:c>
      <x:c r="I12" s="3"/>
      <x:c r="J12" s="3"/>
      <x:c r="K12" s="3"/>
      <x:c r="L12" s="3"/>
      <x:c r="M12" s="3"/>
    </x:row>
    <x:row r="13" ht="42" customHeight="1">
      <x:c r="A13" s="3" t="str">
        <x:v>Pass</x:v>
      </x:c>
      <x:c r="B13" s="3" t="n">
        <x:f>COUNTIFS($E$54:$E$195,"Pass")</x:f>
        <x:v>0</x:v>
      </x:c>
      <x:c r="C13" s="3"/>
      <x:c r="D13" s="3" t="str">
        <x:v>Lỗi đã ghi nhận</x:v>
      </x:c>
      <x:c r="E13" s="3" t="n">
        <x:f>COUNTA(A202:A221)</x:f>
        <x:v>0</x:v>
      </x:c>
      <x:c r="F13" s="3"/>
      <x:c r="G13" s="3" t="str">
        <x:v>Tỷ lệ đạt</x:v>
      </x:c>
      <x:c r="H13" s="3" t="str">
        <x:v>Pass / (tổng ca − N/A). Fail, Blocked và Not Run vẫn nằm trong mẫu số.</x:v>
      </x:c>
      <x:c r="I13" s="3"/>
      <x:c r="J13" s="3"/>
      <x:c r="K13" s="3"/>
      <x:c r="L13" s="3"/>
      <x:c r="M13" s="3"/>
    </x:row>
    <x:row r="14" ht="42" customHeight="1">
      <x:c r="A14" s="3" t="str">
        <x:v>Fail</x:v>
      </x:c>
      <x:c r="B14" s="3" t="n">
        <x:f>COUNTIFS($E$54:$E$195,"Fail")</x:f>
        <x:v>0</x:v>
      </x:c>
      <x:c r="C14" s="3"/>
      <x:c r="D14" s="3" t="str">
        <x:v>Lỗi chưa đóng</x:v>
      </x:c>
      <x:c r="E14" s="3" t="n">
        <x:f>COUNTIFS(A202:A221,"&lt;&gt;",H202:H221,"&lt;&gt;Đóng")</x:f>
        <x:v>0</x:v>
      </x:c>
      <x:c r="F14" s="3"/>
      <x:c r="G14" s="3" t="str">
        <x:v>Lỗi</x:v>
      </x:c>
      <x:c r="H14" s="3" t="str">
        <x:v>Chỉ ghi lỗi quan sát được. 0 lỗi đã ghi không chứng minh phần mềm không có lỗi.</x:v>
      </x:c>
      <x:c r="I14" s="3"/>
      <x:c r="J14" s="3"/>
      <x:c r="K14" s="3"/>
      <x:c r="L14" s="3"/>
      <x:c r="M14" s="3"/>
    </x:row>
    <x:row r="15" ht="42" customHeight="1">
      <x:c r="A15" s="3" t="str">
        <x:v>Blocked</x:v>
      </x:c>
      <x:c r="B15" s="3" t="n">
        <x:f>COUNTIFS($E$54:$E$195,"Blocked")</x:f>
        <x:v>0</x:v>
      </x:c>
      <x:c r="C15" s="3"/>
      <x:c r="D15" s="3" t="str">
        <x:v>Lỗi nghiêm trọng mở</x:v>
      </x:c>
      <x:c r="E15" s="3" t="n">
        <x:f>COUNTIFS(A202:A221,"&lt;&gt;",D202:D221,"Nghiêm trọng",H202:H221,"&lt;&gt;Đóng")</x:f>
        <x:v>0</x:v>
      </x:c>
      <x:c r="F15" s="3"/>
      <x:c r="G15" s="3" t="str">
        <x:v>Điều kiện</x:v>
      </x:c>
      <x:c r="H15" s="3" t="str">
        <x:v>Theo Test Plan: ≥95% ca trong phạm vi Pass, 100% P1 Pass, không còn lỗi nghiêm trọng; lỗi tồn có quyết định xử lý.</x:v>
      </x:c>
      <x:c r="I15" s="3"/>
      <x:c r="J15" s="3"/>
      <x:c r="K15" s="3"/>
      <x:c r="L15" s="3"/>
      <x:c r="M15" s="3"/>
    </x:row>
    <x:row r="16" ht="42" customHeight="1">
      <x:c r="A16" s="3" t="str">
        <x:v>Not Run</x:v>
      </x:c>
      <x:c r="B16" s="3" t="n">
        <x:f>COUNTIFS($E$54:$E$195,"Not Run")</x:f>
        <x:v>142</x:v>
      </x:c>
      <x:c r="C16" s="3"/>
      <x:c r="D16" s="3" t="str">
        <x:v>Trạng thái kết quả</x:v>
      </x:c>
      <x:c r="E16" s="3" t="str">
        <x:f>IF(B12=0,"Chưa có ca đã chạy",IF(SUM(B15:B16)&gt;0,"Chưa chạy hết phạm vi","Đã ghi đủ trạng thái chạy"))</x:f>
        <x:v>Chưa có ca đã chạy</x:v>
      </x:c>
      <x:c r="F16" s="3"/>
      <x:c r="G16" s="3" t="str">
        <x:v>Bằng chứng</x:v>
      </x:c>
      <x:c r="H16" s="3" t="str">
        <x:v>Ghi ảnh/log đã che khóa, token và mật khẩu. Mỗi dòng ca phản ánh lần chạy mới nhất.</x:v>
      </x:c>
      <x:c r="I16" s="3"/>
      <x:c r="J16" s="3"/>
      <x:c r="K16" s="3"/>
      <x:c r="L16" s="3"/>
      <x:c r="M16" s="3"/>
    </x:row>
    <x:row r="17" ht="42" customHeight="1">
      <x:c r="A17" s="3" t="str">
        <x:v>N/A</x:v>
      </x:c>
      <x:c r="B17" s="3" t="n">
        <x:f>COUNTIFS($E$54:$E$195,"N/A")</x:f>
        <x:v>0</x:v>
      </x:c>
      <x:c r="C17" s="3"/>
      <x:c r="D17" s="3" t="str">
        <x:v>Mục tiêu tỷ lệ đạt</x:v>
      </x:c>
      <x:c r="E17" s="12" t="n">
        <x:v>0.95</x:v>
      </x:c>
      <x:c r="F17" s="3"/>
      <x:c r="G17" s="3" t="str">
        <x:v>Lịch sử</x:v>
      </x:c>
      <x:c r="H17" s="3" t="str">
        <x:v>Giữ lịch sử chạy/retest ở file Test Case; ghi ngày và build thực tế vào báo cáo.</x:v>
      </x:c>
      <x:c r="I17" s="3"/>
      <x:c r="J17" s="3"/>
      <x:c r="K17" s="3"/>
      <x:c r="L17" s="3"/>
      <x:c r="M17" s="3"/>
    </x:row>
    <x:row r="18" ht="42" customHeight="1">
      <x:c r="A18" s="3" t="str">
        <x:v>Tỷ lệ đã chạy</x:v>
      </x:c>
      <x:c r="B18" s="11" t="n">
        <x:f>IF(B11=0,"Không áp dụng",B12/B11)</x:f>
        <x:v>0</x:v>
      </x:c>
      <x:c r="C18" s="3"/>
      <x:c r="D18" s="3" t="str">
        <x:v>Giờ kiểm thử dự kiến</x:v>
      </x:c>
      <x:c r="E18" s="3" t="n">
        <x:v>22</x:v>
      </x:c>
      <x:c r="F18" s="3"/>
      <x:c r="G18" s="3" t="str">
        <x:v>N/A</x:v>
      </x:c>
      <x:c r="H18" s="3" t="str">
        <x:v>Phải có lý do và người xác nhận ở cột L. Không dùng N/A để bỏ qua chức năng thiếu.</x:v>
      </x:c>
      <x:c r="I18" s="3"/>
      <x:c r="J18" s="3"/>
      <x:c r="K18" s="3"/>
      <x:c r="L18" s="3"/>
      <x:c r="M18" s="3"/>
    </x:row>
    <x:row r="19" ht="42" customHeight="1">
      <x:c r="A19" s="3" t="str">
        <x:v>Tỷ lệ đạt trong phạm vi</x:v>
      </x:c>
      <x:c r="B19" s="11" t="n">
        <x:f>IF(B11=0,"Không áp dụng",B13/B11)</x:f>
        <x:v>0</x:v>
      </x:c>
      <x:c r="C19" s="3"/>
      <x:c r="D19" s="3" t="str">
        <x:v>Giờ kiểm thử thực tế</x:v>
      </x:c>
      <x:c r="E19" s="6"/>
      <x:c r="F19" s="3"/>
      <x:c r="G19" s="3" t="str">
        <x:v>Kết luận</x:v>
      </x:c>
      <x:c r="H19" s="3" t="str">
        <x:v>Hợp chỉ chọn kết luận sau khi rà soát ca, lỗi còn mở, bằng chứng và các điều kiện riêng của sprint.</x:v>
      </x:c>
      <x:c r="I19" s="3"/>
      <x:c r="J19" s="3"/>
      <x:c r="K19" s="3"/>
      <x:c r="L19" s="3"/>
      <x:c r="M19" s="3"/>
    </x:row>
    <x:row r="20" ht="38" customHeight="1">
      <x:c r="A20" s="3" t="str">
        <x:v>Tỷ lệ đạt trên ca đã chạy</x:v>
      </x:c>
      <x:c r="B20" s="11" t="str">
        <x:f>IF(B12=0,"Chưa có dữ liệu",B13/B12)</x:f>
        <x:v>Chưa có dữ liệu</x:v>
      </x:c>
      <x:c r="C20" s="3"/>
      <x:c r="D20" s="3" t="str">
        <x:v>Kết luận của Hợp</x:v>
      </x:c>
      <x:c r="E20" s="6" t="str">
        <x:v>Chưa đánh giá</x:v>
      </x:c>
      <x:c r="F20" s="3"/>
      <x:c r="G20" s="3"/>
      <x:c r="H20" s="3"/>
      <x:c r="I20" s="3"/>
      <x:c r="J20" s="3"/>
      <x:c r="K20" s="3"/>
      <x:c r="L20" s="3"/>
      <x:c r="M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 t="str">
        <x:v>Chỉ số AI</x:v>
      </x:c>
      <x:c r="L22" s="3" t="str">
        <x:v>Giá trị</x:v>
      </x:c>
      <x:c r="M22" s="3"/>
    </x:row>
    <x:row r="23">
      <x:c r="A23" s="5" t="str">
        <x:v>Kết quả theo nhóm chức năng</x:v>
      </x:c>
      <x:c r="B23" s="3"/>
      <x:c r="C23" s="3"/>
      <x:c r="D23" s="3"/>
      <x:c r="E23" s="3"/>
      <x:c r="F23" s="3"/>
      <x:c r="G23" s="3"/>
      <x:c r="H23" s="3"/>
      <x:c r="I23" s="3"/>
      <x:c r="J23" s="3"/>
      <x:c r="K23" s="3" t="str">
        <x:v>Precision</x:v>
      </x:c>
      <x:c r="L23" s="11" t="str">
        <x:f>IF(OR(L25&lt;30,L26&lt;90),"Chưa đủ dữ liệu",IF(SUM(G232:G261,H232:H261)=0,"Không tính được",SUM(G232:G261)/SUM(G232:G261,H232:H261)))</x:f>
        <x:v>Chưa đủ dữ liệu</x:v>
      </x:c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 t="str">
        <x:v>Recall</x:v>
      </x:c>
      <x:c r="L24" s="11" t="str">
        <x:f>IF(OR(L25&lt;30,L26&lt;90),"Chưa đủ dữ liệu",IF(SUM(G232:G261,I232:I261)=0,"Không tính được",SUM(G232:G261)/SUM(G232:G261,I232:I261)))</x:f>
        <x:v>Chưa đủ dữ liệu</x:v>
      </x:c>
      <x:c r="M24" s="3"/>
    </x:row>
    <x:row r="25" ht="34" customHeight="1">
      <x:c r="A25" s="10" t="str">
        <x:v>Nhóm chức năng</x:v>
      </x:c>
      <x:c r="B25" s="10" t="str">
        <x:v>Tổng ca</x:v>
      </x:c>
      <x:c r="C25" s="10" t="str">
        <x:v>Pass</x:v>
      </x:c>
      <x:c r="D25" s="10" t="str">
        <x:v>Fail</x:v>
      </x:c>
      <x:c r="E25" s="10" t="str">
        <x:v>Blocked</x:v>
      </x:c>
      <x:c r="F25" s="10" t="str">
        <x:v>Not Run</x:v>
      </x:c>
      <x:c r="G25" s="10" t="str">
        <x:v>N/A</x:v>
      </x:c>
      <x:c r="H25" s="10" t="str">
        <x:v>Trong phạm vi</x:v>
      </x:c>
      <x:c r="I25" s="10" t="str">
        <x:v>Tỷ lệ đạt</x:v>
      </x:c>
      <x:c r="J25" s="3"/>
      <x:c r="K25" s="3" t="str">
        <x:v>Mẫu nhãn đã duyệt</x:v>
      </x:c>
      <x:c r="L25" s="3" t="n">
        <x:f>COUNTIFS(E232:E261,"Đã duyệt")</x:f>
        <x:v>0</x:v>
      </x:c>
      <x:c r="M25" s="3"/>
    </x:row>
    <x:row r="26" ht="40" customHeight="1">
      <x:c r="A26" s="3" t="str">
        <x:v>F01 Tài khoản</x:v>
      </x:c>
      <x:c r="B26" s="3" t="n">
        <x:f>COUNTIFS($B$54:$B$195,A26)</x:f>
        <x:v>19</x:v>
      </x:c>
      <x:c r="C26" s="3" t="n">
        <x:f>COUNTIFS($B$54:$B$195,A26,$E$54:$E$195,"Pass")</x:f>
        <x:v>0</x:v>
      </x:c>
      <x:c r="D26" s="3" t="n">
        <x:f>COUNTIFS($B$54:$B$195,A26,$E$54:$E$195,"Fail")</x:f>
        <x:v>0</x:v>
      </x:c>
      <x:c r="E26" s="3" t="n">
        <x:f>COUNTIFS($B$54:$B$195,A26,$E$54:$E$195,"Blocked")</x:f>
        <x:v>0</x:v>
      </x:c>
      <x:c r="F26" s="3" t="n">
        <x:f>COUNTIFS($B$54:$B$195,A26,$E$54:$E$195,"Not Run")</x:f>
        <x:v>19</x:v>
      </x:c>
      <x:c r="G26" s="3" t="n">
        <x:f>COUNTIFS($B$54:$B$195,A26,$E$54:$E$195,"N/A")</x:f>
        <x:v>0</x:v>
      </x:c>
      <x:c r="H26" s="3" t="n">
        <x:f>B26-G26</x:f>
        <x:v>19</x:v>
      </x:c>
      <x:c r="I26" s="11" t="n">
        <x:f>IF(H26=0,"Không áp dụng",C26/H26)</x:f>
        <x:v>0</x:v>
      </x:c>
      <x:c r="J26" s="3"/>
      <x:c r="K26" s="3" t="str">
        <x:v>Ô TP/FP/FN đã nhập</x:v>
      </x:c>
      <x:c r="L26" s="3" t="n">
        <x:f>COUNT(G232:I261)</x:f>
        <x:v>0</x:v>
      </x:c>
      <x:c r="M26" s="3"/>
    </x:row>
    <x:row r="27" ht="40" customHeight="1">
      <x:c r="A27" s="3" t="str">
        <x:v>F01 Hồ sơ</x:v>
      </x:c>
      <x:c r="B27" s="3" t="n">
        <x:f>COUNTIFS($B$54:$B$195,A27)</x:f>
        <x:v>10</x:v>
      </x:c>
      <x:c r="C27" s="3" t="n">
        <x:f>COUNTIFS($B$54:$B$195,A27,$E$54:$E$195,"Pass")</x:f>
        <x:v>0</x:v>
      </x:c>
      <x:c r="D27" s="3" t="n">
        <x:f>COUNTIFS($B$54:$B$195,A27,$E$54:$E$195,"Fail")</x:f>
        <x:v>0</x:v>
      </x:c>
      <x:c r="E27" s="3" t="n">
        <x:f>COUNTIFS($B$54:$B$195,A27,$E$54:$E$195,"Blocked")</x:f>
        <x:v>0</x:v>
      </x:c>
      <x:c r="F27" s="3" t="n">
        <x:f>COUNTIFS($B$54:$B$195,A27,$E$54:$E$195,"Not Run")</x:f>
        <x:v>10</x:v>
      </x:c>
      <x:c r="G27" s="3" t="n">
        <x:f>COUNTIFS($B$54:$B$195,A27,$E$54:$E$195,"N/A")</x:f>
        <x:v>0</x:v>
      </x:c>
      <x:c r="H27" s="3" t="n">
        <x:f>B27-G27</x:f>
        <x:v>10</x:v>
      </x:c>
      <x:c r="I27" s="11" t="n">
        <x:f>IF(H27=0,"Không áp dụng",C27/H27)</x:f>
        <x:v>0</x:v>
      </x:c>
      <x:c r="J27" s="3"/>
      <x:c r="K27" s="3"/>
      <x:c r="L27" s="3"/>
      <x:c r="M27" s="3"/>
    </x:row>
    <x:row r="28" ht="76" customHeight="1">
      <x:c r="A28" s="3" t="str">
        <x:v>F02 Tin đăng</x:v>
      </x:c>
      <x:c r="B28" s="3" t="n">
        <x:f>COUNTIFS($B$54:$B$195,A28)</x:f>
        <x:v>30</x:v>
      </x:c>
      <x:c r="C28" s="3" t="n">
        <x:f>COUNTIFS($B$54:$B$195,A28,$E$54:$E$195,"Pass")</x:f>
        <x:v>0</x:v>
      </x:c>
      <x:c r="D28" s="3" t="n">
        <x:f>COUNTIFS($B$54:$B$195,A28,$E$54:$E$195,"Fail")</x:f>
        <x:v>0</x:v>
      </x:c>
      <x:c r="E28" s="3" t="n">
        <x:f>COUNTIFS($B$54:$B$195,A28,$E$54:$E$195,"Blocked")</x:f>
        <x:v>0</x:v>
      </x:c>
      <x:c r="F28" s="3" t="n">
        <x:f>COUNTIFS($B$54:$B$195,A28,$E$54:$E$195,"Not Run")</x:f>
        <x:v>30</x:v>
      </x:c>
      <x:c r="G28" s="3" t="n">
        <x:f>COUNTIFS($B$54:$B$195,A28,$E$54:$E$195,"N/A")</x:f>
        <x:v>0</x:v>
      </x:c>
      <x:c r="H28" s="3" t="n">
        <x:f>B28-G28</x:f>
        <x:v>30</x:v>
      </x:c>
      <x:c r="I28" s="11" t="n">
        <x:f>IF(H28=0,"Không áp dụng",C28/H28)</x:f>
        <x:v>0</x:v>
      </x:c>
      <x:c r="J28" s="3"/>
      <x:c r="K28" s="3" t="str">
        <x:v>Chuẩn bị</x:v>
      </x:c>
      <x:c r="L28" s="3" t="str">
        <x:v>Hợp duyệt nhãn trước chạy. Nhãn đề xuất là ngữ nghĩa, cần đối chiếu tag thật.</x:v>
      </x:c>
      <x:c r="M28" s="3"/>
    </x:row>
    <x:row r="29" ht="76" customHeight="1">
      <x:c r="A29" s="3" t="str">
        <x:v>F02 Quyền tin</x:v>
      </x:c>
      <x:c r="B29" s="3" t="n">
        <x:f>COUNTIFS($B$54:$B$195,A29)</x:f>
        <x:v>4</x:v>
      </x:c>
      <x:c r="C29" s="3" t="n">
        <x:f>COUNTIFS($B$54:$B$195,A29,$E$54:$E$195,"Pass")</x:f>
        <x:v>0</x:v>
      </x:c>
      <x:c r="D29" s="3" t="n">
        <x:f>COUNTIFS($B$54:$B$195,A29,$E$54:$E$195,"Fail")</x:f>
        <x:v>0</x:v>
      </x:c>
      <x:c r="E29" s="3" t="n">
        <x:f>COUNTIFS($B$54:$B$195,A29,$E$54:$E$195,"Blocked")</x:f>
        <x:v>0</x:v>
      </x:c>
      <x:c r="F29" s="3" t="n">
        <x:f>COUNTIFS($B$54:$B$195,A29,$E$54:$E$195,"Not Run")</x:f>
        <x:v>4</x:v>
      </x:c>
      <x:c r="G29" s="3" t="n">
        <x:f>COUNTIFS($B$54:$B$195,A29,$E$54:$E$195,"N/A")</x:f>
        <x:v>0</x:v>
      </x:c>
      <x:c r="H29" s="3" t="n">
        <x:f>B29-G29</x:f>
        <x:v>4</x:v>
      </x:c>
      <x:c r="I29" s="11" t="n">
        <x:f>IF(H29=0,"Không áp dụng",C29/H29)</x:f>
        <x:v>0</x:v>
      </x:c>
      <x:c r="J29" s="3"/>
      <x:c r="K29" s="3" t="str">
        <x:v>Ghi số liệu</x:v>
      </x:c>
      <x:c r="L29" s="3" t="str">
        <x:v>TP: thẻ đúng; FP: thẻ sai; FN: nhãn bị bỏ sót. Ghi số nguyên, gồm cả 0.</x:v>
      </x:c>
      <x:c r="M29" s="3"/>
    </x:row>
    <x:row r="30" ht="76" customHeight="1">
      <x:c r="A30" s="3" t="str">
        <x:v>F03 Tìm kiếm/lọc</x:v>
      </x:c>
      <x:c r="B30" s="3" t="n">
        <x:f>COUNTIFS($B$54:$B$195,A30)</x:f>
        <x:v>25</x:v>
      </x:c>
      <x:c r="C30" s="3" t="n">
        <x:f>COUNTIFS($B$54:$B$195,A30,$E$54:$E$195,"Pass")</x:f>
        <x:v>0</x:v>
      </x:c>
      <x:c r="D30" s="3" t="n">
        <x:f>COUNTIFS($B$54:$B$195,A30,$E$54:$E$195,"Fail")</x:f>
        <x:v>0</x:v>
      </x:c>
      <x:c r="E30" s="3" t="n">
        <x:f>COUNTIFS($B$54:$B$195,A30,$E$54:$E$195,"Blocked")</x:f>
        <x:v>0</x:v>
      </x:c>
      <x:c r="F30" s="3" t="n">
        <x:f>COUNTIFS($B$54:$B$195,A30,$E$54:$E$195,"Not Run")</x:f>
        <x:v>25</x:v>
      </x:c>
      <x:c r="G30" s="3" t="n">
        <x:f>COUNTIFS($B$54:$B$195,A30,$E$54:$E$195,"N/A")</x:f>
        <x:v>0</x:v>
      </x:c>
      <x:c r="H30" s="3" t="n">
        <x:f>B30-G30</x:f>
        <x:v>25</x:v>
      </x:c>
      <x:c r="I30" s="11" t="n">
        <x:f>IF(H30=0,"Không áp dụng",C30/H30)</x:f>
        <x:v>0</x:v>
      </x:c>
      <x:c r="J30" s="3"/>
      <x:c r="K30" s="3" t="str">
        <x:v>Đối chiếu</x:v>
      </x:c>
      <x:c r="L30" s="3" t="str">
        <x:v>Dùng 30 lần chạy chính. Lần lặp ghi riêng trong file Test Case; không cộng lẫn.</x:v>
      </x:c>
      <x:c r="M30" s="3"/>
    </x:row>
    <x:row r="31" ht="40" customHeight="1">
      <x:c r="A31" s="3" t="str">
        <x:v>F04 AI/thẻ</x:v>
      </x:c>
      <x:c r="B31" s="3" t="n">
        <x:f>COUNTIFS($B$54:$B$195,A31)</x:f>
        <x:v>12</x:v>
      </x:c>
      <x:c r="C31" s="3" t="n">
        <x:f>COUNTIFS($B$54:$B$195,A31,$E$54:$E$195,"Pass")</x:f>
        <x:v>0</x:v>
      </x:c>
      <x:c r="D31" s="3" t="n">
        <x:f>COUNTIFS($B$54:$B$195,A31,$E$54:$E$195,"Fail")</x:f>
        <x:v>0</x:v>
      </x:c>
      <x:c r="E31" s="3" t="n">
        <x:f>COUNTIFS($B$54:$B$195,A31,$E$54:$E$195,"Blocked")</x:f>
        <x:v>0</x:v>
      </x:c>
      <x:c r="F31" s="3" t="n">
        <x:f>COUNTIFS($B$54:$B$195,A31,$E$54:$E$195,"Not Run")</x:f>
        <x:v>12</x:v>
      </x:c>
      <x:c r="G31" s="3" t="n">
        <x:f>COUNTIFS($B$54:$B$195,A31,$E$54:$E$195,"N/A")</x:f>
        <x:v>0</x:v>
      </x:c>
      <x:c r="H31" s="3" t="n">
        <x:f>B31-G31</x:f>
        <x:v>12</x:v>
      </x:c>
      <x:c r="I31" s="11" t="n">
        <x:f>IF(H31=0,"Không áp dụng",C31/H31)</x:f>
        <x:v>0</x:v>
      </x:c>
      <x:c r="J31" s="3"/>
      <x:c r="K31" s="3"/>
      <x:c r="L31" s="3"/>
      <x:c r="M31" s="3"/>
    </x:row>
    <x:row r="32" ht="40" customHeight="1">
      <x:c r="A32" s="3" t="str">
        <x:v>F04 Lưu/tìm thẻ</x:v>
      </x:c>
      <x:c r="B32" s="3" t="n">
        <x:f>COUNTIFS($B$54:$B$195,A32)</x:f>
        <x:v>10</x:v>
      </x:c>
      <x:c r="C32" s="3" t="n">
        <x:f>COUNTIFS($B$54:$B$195,A32,$E$54:$E$195,"Pass")</x:f>
        <x:v>0</x:v>
      </x:c>
      <x:c r="D32" s="3" t="n">
        <x:f>COUNTIFS($B$54:$B$195,A32,$E$54:$E$195,"Fail")</x:f>
        <x:v>0</x:v>
      </x:c>
      <x:c r="E32" s="3" t="n">
        <x:f>COUNTIFS($B$54:$B$195,A32,$E$54:$E$195,"Blocked")</x:f>
        <x:v>0</x:v>
      </x:c>
      <x:c r="F32" s="3" t="n">
        <x:f>COUNTIFS($B$54:$B$195,A32,$E$54:$E$195,"Not Run")</x:f>
        <x:v>10</x:v>
      </x:c>
      <x:c r="G32" s="3" t="n">
        <x:f>COUNTIFS($B$54:$B$195,A32,$E$54:$E$195,"N/A")</x:f>
        <x:v>0</x:v>
      </x:c>
      <x:c r="H32" s="3" t="n">
        <x:f>B32-G32</x:f>
        <x:v>10</x:v>
      </x:c>
      <x:c r="I32" s="11" t="n">
        <x:f>IF(H32=0,"Không áp dụng",C32/H32)</x:f>
        <x:v>0</x:v>
      </x:c>
      <x:c r="J32" s="3"/>
      <x:c r="K32" s="3"/>
      <x:c r="L32" s="3"/>
      <x:c r="M32" s="3"/>
    </x:row>
    <x:row r="33" ht="40" customHeight="1">
      <x:c r="A33" s="3" t="str">
        <x:v>F01–F04 Hồi quy</x:v>
      </x:c>
      <x:c r="B33" s="3" t="n">
        <x:f>COUNTIFS($B$54:$B$195,A33)</x:f>
        <x:v>1</x:v>
      </x:c>
      <x:c r="C33" s="3" t="n">
        <x:f>COUNTIFS($B$54:$B$195,A33,$E$54:$E$195,"Pass")</x:f>
        <x:v>0</x:v>
      </x:c>
      <x:c r="D33" s="3" t="n">
        <x:f>COUNTIFS($B$54:$B$195,A33,$E$54:$E$195,"Fail")</x:f>
        <x:v>0</x:v>
      </x:c>
      <x:c r="E33" s="3" t="n">
        <x:f>COUNTIFS($B$54:$B$195,A33,$E$54:$E$195,"Blocked")</x:f>
        <x:v>0</x:v>
      </x:c>
      <x:c r="F33" s="3" t="n">
        <x:f>COUNTIFS($B$54:$B$195,A33,$E$54:$E$195,"Not Run")</x:f>
        <x:v>1</x:v>
      </x:c>
      <x:c r="G33" s="3" t="n">
        <x:f>COUNTIFS($B$54:$B$195,A33,$E$54:$E$195,"N/A")</x:f>
        <x:v>0</x:v>
      </x:c>
      <x:c r="H33" s="3" t="n">
        <x:f>B33-G33</x:f>
        <x:v>1</x:v>
      </x:c>
      <x:c r="I33" s="11" t="n">
        <x:f>IF(H33=0,"Không áp dụng",C33/H33)</x:f>
        <x:v>0</x:v>
      </x:c>
      <x:c r="J33" s="3"/>
      <x:c r="K33" s="3"/>
      <x:c r="L33" s="3"/>
      <x:c r="M33" s="3"/>
    </x:row>
    <x:row r="34" ht="40" customHeight="1">
      <x:c r="A34" s="3" t="str">
        <x:v>F04 Bộ đánh giá AI</x:v>
      </x:c>
      <x:c r="B34" s="3" t="n">
        <x:f>COUNTIFS($B$54:$B$195,A34)</x:f>
        <x:v>31</x:v>
      </x:c>
      <x:c r="C34" s="3" t="n">
        <x:f>COUNTIFS($B$54:$B$195,A34,$E$54:$E$195,"Pass")</x:f>
        <x:v>0</x:v>
      </x:c>
      <x:c r="D34" s="3" t="n">
        <x:f>COUNTIFS($B$54:$B$195,A34,$E$54:$E$195,"Fail")</x:f>
        <x:v>0</x:v>
      </x:c>
      <x:c r="E34" s="3" t="n">
        <x:f>COUNTIFS($B$54:$B$195,A34,$E$54:$E$195,"Blocked")</x:f>
        <x:v>0</x:v>
      </x:c>
      <x:c r="F34" s="3" t="n">
        <x:f>COUNTIFS($B$54:$B$195,A34,$E$54:$E$195,"Not Run")</x:f>
        <x:v>31</x:v>
      </x:c>
      <x:c r="G34" s="3" t="n">
        <x:f>COUNTIFS($B$54:$B$195,A34,$E$54:$E$195,"N/A")</x:f>
        <x:v>0</x:v>
      </x:c>
      <x:c r="H34" s="3" t="n">
        <x:f>B34-G34</x:f>
        <x:v>31</x:v>
      </x:c>
      <x:c r="I34" s="11" t="n">
        <x:f>IF(H34=0,"Không áp dụng",C34/H34)</x:f>
        <x:v>0</x:v>
      </x:c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5" t="str">
        <x:v>Nhận xét và đề xuất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130" customHeight="1">
      <x:c r="A45" s="3" t="str">
        <x:v>Kết quả nổi bật</x:v>
      </x:c>
      <x:c r="B45" s="6" t="str">
        <x:v>Chưa có dữ liệu chạy kiểm thử.</x:v>
      </x:c>
      <x:c r="C45" s="6"/>
      <x:c r="D45" s="3" t="str">
        <x:v>Lưu ý riêng của sprint</x:v>
      </x:c>
      <x:c r="E45" s="3" t="str">
        <x:v>Precision ≥85%, recall ≥75%; xem bộ 30 mẫu AI cuối sheet. Rà soát riêng ca phủ định và lưu tin khi AI lỗi.</x:v>
      </x:c>
      <x:c r="F45" s="3"/>
      <x:c r="G45" s="3"/>
      <x:c r="H45" s="3"/>
      <x:c r="I45" s="3"/>
      <x:c r="J45" s="3"/>
      <x:c r="K45" s="3"/>
      <x:c r="L45" s="3"/>
      <x:c r="M45" s="3"/>
    </x:row>
    <x:row r="46" ht="50" customHeight="1">
      <x:c r="A46" s="3" t="str">
        <x:v>Lỗi và tồn tại</x:v>
      </x:c>
      <x:c r="B46" s="6" t="str"/>
      <x:c r="C46" s="6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50" customHeight="1">
      <x:c r="A47" s="3" t="str">
        <x:v>Phần bị chặn/chưa kiểm tra</x:v>
      </x:c>
      <x:c r="B47" s="6" t="str"/>
      <x:c r="C47" s="6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50" customHeight="1">
      <x:c r="A48" s="3" t="str">
        <x:v>Đề xuất xử lý</x:v>
      </x:c>
      <x:c r="B48" s="6" t="str"/>
      <x:c r="C48" s="6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50" customHeight="1">
      <x:c r="A49" s="3" t="str">
        <x:v>Người rà soát / ngày</x:v>
      </x:c>
      <x:c r="B49" s="6" t="str"/>
      <x:c r="C49" s="6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5" t="str">
        <x:v>Chi tiết kết quả theo ca</x:v>
      </x:c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34" customHeight="1">
      <x:c r="A53" s="10" t="str">
        <x:v>Mã ca</x:v>
      </x:c>
      <x:c r="B53" s="10" t="str">
        <x:v>Nhóm chức năng</x:v>
      </x:c>
      <x:c r="C53" s="10" t="str">
        <x:v>Tên ca kiểm thử</x:v>
      </x:c>
      <x:c r="D53" s="10" t="str">
        <x:v>Ưu tiên</x:v>
      </x:c>
      <x:c r="E53" s="10" t="str">
        <x:v>Trạng thái</x:v>
      </x:c>
      <x:c r="F53" s="10" t="str">
        <x:v>Kết quả thực tế</x:v>
      </x:c>
      <x:c r="G53" s="10" t="str">
        <x:v>Ngày chạy</x:v>
      </x:c>
      <x:c r="H53" s="10" t="str">
        <x:v>Build/commit</x:v>
      </x:c>
      <x:c r="I53" s="10" t="str">
        <x:v>Bằng chứng</x:v>
      </x:c>
      <x:c r="J53" s="10" t="str">
        <x:v>Mã lỗi</x:v>
      </x:c>
      <x:c r="K53" s="10" t="str">
        <x:v>Kết quả retest</x:v>
      </x:c>
      <x:c r="L53" s="10" t="str">
        <x:v>Ghi chú / lý do N/A</x:v>
      </x:c>
      <x:c r="M53" s="10" t="str">
        <x:v>Người chạy</x:v>
      </x:c>
    </x:row>
    <x:row r="54" ht="44" customHeight="1">
      <x:c r="A54" s="3" t="str">
        <x:v>S2-TC001</x:v>
      </x:c>
      <x:c r="B54" s="3" t="str">
        <x:v>F01 Tài khoản</x:v>
      </x:c>
      <x:c r="C54" s="3" t="str">
        <x:v>Đăng ký hợp lệ</x:v>
      </x:c>
      <x:c r="D54" s="3" t="str">
        <x:v>P1</x:v>
      </x:c>
      <x:c r="E54" s="6" t="str">
        <x:v>Not Run</x:v>
      </x:c>
      <x:c r="F54" s="6" t="str"/>
      <x:c r="G54" s="13"/>
      <x:c r="H54" s="6" t="str"/>
      <x:c r="I54" s="6" t="str"/>
      <x:c r="J54" s="6" t="str"/>
      <x:c r="K54" s="6" t="str"/>
      <x:c r="L54" s="6" t="str"/>
      <x:c r="M54" s="6" t="str">
        <x:v>Hoàng Đại Hợp</x:v>
      </x:c>
    </x:row>
    <x:row r="55" ht="44" customHeight="1">
      <x:c r="A55" s="3" t="str">
        <x:v>S2-TC002</x:v>
      </x:c>
      <x:c r="B55" s="3" t="str">
        <x:v>F01 Tài khoản</x:v>
      </x:c>
      <x:c r="C55" s="3" t="str">
        <x:v>Đăng nhập hợp lệ</x:v>
      </x:c>
      <x:c r="D55" s="3" t="str">
        <x:v>P1</x:v>
      </x:c>
      <x:c r="E55" s="6" t="str">
        <x:v>Not Run</x:v>
      </x:c>
      <x:c r="F55" s="6" t="str"/>
      <x:c r="G55" s="13"/>
      <x:c r="H55" s="6" t="str"/>
      <x:c r="I55" s="6" t="str"/>
      <x:c r="J55" s="6" t="str"/>
      <x:c r="K55" s="6" t="str"/>
      <x:c r="L55" s="6" t="str"/>
      <x:c r="M55" s="6" t="str">
        <x:v>Hoàng Đại Hợp</x:v>
      </x:c>
    </x:row>
    <x:row r="56" ht="44" customHeight="1">
      <x:c r="A56" s="3" t="str">
        <x:v>S2-TC003</x:v>
      </x:c>
      <x:c r="B56" s="3" t="str">
        <x:v>F01 Tài khoản</x:v>
      </x:c>
      <x:c r="C56" s="3" t="str">
        <x:v>Email đăng ký trùng</x:v>
      </x:c>
      <x:c r="D56" s="3" t="str">
        <x:v>P1</x:v>
      </x:c>
      <x:c r="E56" s="6" t="str">
        <x:v>Not Run</x:v>
      </x:c>
      <x:c r="F56" s="6" t="str"/>
      <x:c r="G56" s="13"/>
      <x:c r="H56" s="6" t="str"/>
      <x:c r="I56" s="6" t="str"/>
      <x:c r="J56" s="6" t="str"/>
      <x:c r="K56" s="6" t="str"/>
      <x:c r="L56" s="6" t="str"/>
      <x:c r="M56" s="6" t="str">
        <x:v>Hoàng Đại Hợp</x:v>
      </x:c>
    </x:row>
    <x:row r="57" ht="44" customHeight="1">
      <x:c r="A57" s="3" t="str">
        <x:v>S2-TC004</x:v>
      </x:c>
      <x:c r="B57" s="3" t="str">
        <x:v>F01 Tài khoản</x:v>
      </x:c>
      <x:c r="C57" s="3" t="str">
        <x:v>Email trống</x:v>
      </x:c>
      <x:c r="D57" s="3" t="str">
        <x:v>P2</x:v>
      </x:c>
      <x:c r="E57" s="6" t="str">
        <x:v>Not Run</x:v>
      </x:c>
      <x:c r="F57" s="6" t="str"/>
      <x:c r="G57" s="13"/>
      <x:c r="H57" s="6" t="str"/>
      <x:c r="I57" s="6" t="str"/>
      <x:c r="J57" s="6" t="str"/>
      <x:c r="K57" s="6" t="str"/>
      <x:c r="L57" s="6" t="str"/>
      <x:c r="M57" s="6" t="str">
        <x:v>Hoàng Đại Hợp</x:v>
      </x:c>
    </x:row>
    <x:row r="58" ht="44" customHeight="1">
      <x:c r="A58" s="3" t="str">
        <x:v>S2-TC005</x:v>
      </x:c>
      <x:c r="B58" s="3" t="str">
        <x:v>F01 Tài khoản</x:v>
      </x:c>
      <x:c r="C58" s="3" t="str">
        <x:v>Email sai định dạng</x:v>
      </x:c>
      <x:c r="D58" s="3" t="str">
        <x:v>P2</x:v>
      </x:c>
      <x:c r="E58" s="6" t="str">
        <x:v>Not Run</x:v>
      </x:c>
      <x:c r="F58" s="6" t="str"/>
      <x:c r="G58" s="13"/>
      <x:c r="H58" s="6" t="str"/>
      <x:c r="I58" s="6" t="str"/>
      <x:c r="J58" s="6" t="str"/>
      <x:c r="K58" s="6" t="str"/>
      <x:c r="L58" s="6" t="str"/>
      <x:c r="M58" s="6" t="str">
        <x:v>Hoàng Đại Hợp</x:v>
      </x:c>
    </x:row>
    <x:row r="59" ht="44" customHeight="1">
      <x:c r="A59" s="3" t="str">
        <x:v>S2-TC006</x:v>
      </x:c>
      <x:c r="B59" s="3" t="str">
        <x:v>F01 Tài khoản</x:v>
      </x:c>
      <x:c r="C59" s="3" t="str">
        <x:v>Mật khẩu trống</x:v>
      </x:c>
      <x:c r="D59" s="3" t="str">
        <x:v>P2</x:v>
      </x:c>
      <x:c r="E59" s="6" t="str">
        <x:v>Not Run</x:v>
      </x:c>
      <x:c r="F59" s="6" t="str"/>
      <x:c r="G59" s="13"/>
      <x:c r="H59" s="6" t="str"/>
      <x:c r="I59" s="6" t="str"/>
      <x:c r="J59" s="6" t="str"/>
      <x:c r="K59" s="6" t="str"/>
      <x:c r="L59" s="6" t="str"/>
      <x:c r="M59" s="6" t="str">
        <x:v>Hoàng Đại Hợp</x:v>
      </x:c>
    </x:row>
    <x:row r="60" ht="57" customHeight="1">
      <x:c r="A60" s="3" t="str">
        <x:v>S2-TC007</x:v>
      </x:c>
      <x:c r="B60" s="3" t="str">
        <x:v>F01 Tài khoản</x:v>
      </x:c>
      <x:c r="C60" s="3" t="str">
        <x:v>Xác nhận mật khẩu không khớp</x:v>
      </x:c>
      <x:c r="D60" s="3" t="str">
        <x:v>P2</x:v>
      </x:c>
      <x:c r="E60" s="6" t="str">
        <x:v>Not Run</x:v>
      </x:c>
      <x:c r="F60" s="6" t="str"/>
      <x:c r="G60" s="13"/>
      <x:c r="H60" s="6" t="str"/>
      <x:c r="I60" s="6" t="str"/>
      <x:c r="J60" s="6" t="str"/>
      <x:c r="K60" s="6" t="str"/>
      <x:c r="L60" s="6" t="str">
        <x:v>Nếu không có trường này, chỉ N/A khi xác nhận không thuộc thiết kế.</x:v>
      </x:c>
      <x:c r="M60" s="6" t="str">
        <x:v>Hoàng Đại Hợp</x:v>
      </x:c>
    </x:row>
    <x:row r="61" ht="44" customHeight="1">
      <x:c r="A61" s="3" t="str">
        <x:v>S2-TC008</x:v>
      </x:c>
      <x:c r="B61" s="3" t="str">
        <x:v>F01 Tài khoản</x:v>
      </x:c>
      <x:c r="C61" s="3" t="str">
        <x:v>Độ dài mật khẩu Lmin-1</x:v>
      </x:c>
      <x:c r="D61" s="3" t="str">
        <x:v>P2</x:v>
      </x:c>
      <x:c r="E61" s="6" t="str">
        <x:v>Not Run</x:v>
      </x:c>
      <x:c r="F61" s="6" t="str"/>
      <x:c r="G61" s="13"/>
      <x:c r="H61" s="6" t="str"/>
      <x:c r="I61" s="6" t="str"/>
      <x:c r="J61" s="6" t="str"/>
      <x:c r="K61" s="6" t="str"/>
      <x:c r="L61" s="6" t="str">
        <x:v>Chưa xác nhận Lmin thì Blocked.</x:v>
      </x:c>
      <x:c r="M61" s="6" t="str">
        <x:v>Hoàng Đại Hợp</x:v>
      </x:c>
    </x:row>
    <x:row r="62" ht="44" customHeight="1">
      <x:c r="A62" s="3" t="str">
        <x:v>S2-TC009</x:v>
      </x:c>
      <x:c r="B62" s="3" t="str">
        <x:v>F01 Tài khoản</x:v>
      </x:c>
      <x:c r="C62" s="3" t="str">
        <x:v>Độ dài mật khẩu Lmin</x:v>
      </x:c>
      <x:c r="D62" s="3" t="str">
        <x:v>P2</x:v>
      </x:c>
      <x:c r="E62" s="6" t="str">
        <x:v>Not Run</x:v>
      </x:c>
      <x:c r="F62" s="6" t="str"/>
      <x:c r="G62" s="13"/>
      <x:c r="H62" s="6" t="str"/>
      <x:c r="I62" s="6" t="str"/>
      <x:c r="J62" s="6" t="str"/>
      <x:c r="K62" s="6" t="str"/>
      <x:c r="L62" s="6" t="str">
        <x:v>Chưa xác nhận Lmin thì Blocked.</x:v>
      </x:c>
      <x:c r="M62" s="6" t="str">
        <x:v>Hoàng Đại Hợp</x:v>
      </x:c>
    </x:row>
    <x:row r="63" ht="44" customHeight="1">
      <x:c r="A63" s="3" t="str">
        <x:v>S2-TC010</x:v>
      </x:c>
      <x:c r="B63" s="3" t="str">
        <x:v>F01 Tài khoản</x:v>
      </x:c>
      <x:c r="C63" s="3" t="str">
        <x:v>Độ dài mật khẩu Lmin+1</x:v>
      </x:c>
      <x:c r="D63" s="3" t="str">
        <x:v>P2</x:v>
      </x:c>
      <x:c r="E63" s="6" t="str">
        <x:v>Not Run</x:v>
      </x:c>
      <x:c r="F63" s="6" t="str"/>
      <x:c r="G63" s="13"/>
      <x:c r="H63" s="6" t="str"/>
      <x:c r="I63" s="6" t="str"/>
      <x:c r="J63" s="6" t="str"/>
      <x:c r="K63" s="6" t="str"/>
      <x:c r="L63" s="6" t="str">
        <x:v>Chưa xác nhận Lmin thì Blocked.</x:v>
      </x:c>
      <x:c r="M63" s="6" t="str">
        <x:v>Hoàng Đại Hợp</x:v>
      </x:c>
    </x:row>
    <x:row r="64" ht="44" customHeight="1">
      <x:c r="A64" s="3" t="str">
        <x:v>S2-TC011</x:v>
      </x:c>
      <x:c r="B64" s="3" t="str">
        <x:v>F01 Tài khoản</x:v>
      </x:c>
      <x:c r="C64" s="3" t="str">
        <x:v>Đăng nhập sai mật khẩu</x:v>
      </x:c>
      <x:c r="D64" s="3" t="str">
        <x:v>P1</x:v>
      </x:c>
      <x:c r="E64" s="6" t="str">
        <x:v>Not Run</x:v>
      </x:c>
      <x:c r="F64" s="6" t="str"/>
      <x:c r="G64" s="13"/>
      <x:c r="H64" s="6" t="str"/>
      <x:c r="I64" s="6" t="str"/>
      <x:c r="J64" s="6" t="str"/>
      <x:c r="K64" s="6" t="str"/>
      <x:c r="L64" s="6" t="str"/>
      <x:c r="M64" s="6" t="str">
        <x:v>Hoàng Đại Hợp</x:v>
      </x:c>
    </x:row>
    <x:row r="65" ht="44" customHeight="1">
      <x:c r="A65" s="3" t="str">
        <x:v>S2-TC012</x:v>
      </x:c>
      <x:c r="B65" s="3" t="str">
        <x:v>F01 Tài khoản</x:v>
      </x:c>
      <x:c r="C65" s="3" t="str">
        <x:v>Đăng nhập tài khoản không tồn tại</x:v>
      </x:c>
      <x:c r="D65" s="3" t="str">
        <x:v>P2</x:v>
      </x:c>
      <x:c r="E65" s="6" t="str">
        <x:v>Not Run</x:v>
      </x:c>
      <x:c r="F65" s="6" t="str"/>
      <x:c r="G65" s="13"/>
      <x:c r="H65" s="6" t="str"/>
      <x:c r="I65" s="6" t="str"/>
      <x:c r="J65" s="6" t="str"/>
      <x:c r="K65" s="6" t="str"/>
      <x:c r="L65" s="6" t="str"/>
      <x:c r="M65" s="6" t="str">
        <x:v>Hoàng Đại Hợp</x:v>
      </x:c>
    </x:row>
    <x:row r="66" ht="44" customHeight="1">
      <x:c r="A66" s="3" t="str">
        <x:v>S2-TC013</x:v>
      </x:c>
      <x:c r="B66" s="3" t="str">
        <x:v>F01 Tài khoản</x:v>
      </x:c>
      <x:c r="C66" s="3" t="str">
        <x:v>Đăng nhập thiếu thông tin</x:v>
      </x:c>
      <x:c r="D66" s="3" t="str">
        <x:v>P2</x:v>
      </x:c>
      <x:c r="E66" s="6" t="str">
        <x:v>Not Run</x:v>
      </x:c>
      <x:c r="F66" s="6" t="str"/>
      <x:c r="G66" s="13"/>
      <x:c r="H66" s="6" t="str"/>
      <x:c r="I66" s="6" t="str"/>
      <x:c r="J66" s="6" t="str"/>
      <x:c r="K66" s="6" t="str"/>
      <x:c r="L66" s="6" t="str"/>
      <x:c r="M66" s="6" t="str">
        <x:v>Hoàng Đại Hợp</x:v>
      </x:c>
    </x:row>
    <x:row r="67" ht="44" customHeight="1">
      <x:c r="A67" s="3" t="str">
        <x:v>S2-TC014</x:v>
      </x:c>
      <x:c r="B67" s="3" t="str">
        <x:v>F01 Tài khoản</x:v>
      </x:c>
      <x:c r="C67" s="3" t="str">
        <x:v>Đăng xuất</x:v>
      </x:c>
      <x:c r="D67" s="3" t="str">
        <x:v>P1</x:v>
      </x:c>
      <x:c r="E67" s="6" t="str">
        <x:v>Not Run</x:v>
      </x:c>
      <x:c r="F67" s="6" t="str"/>
      <x:c r="G67" s="13"/>
      <x:c r="H67" s="6" t="str"/>
      <x:c r="I67" s="6" t="str"/>
      <x:c r="J67" s="6" t="str"/>
      <x:c r="K67" s="6" t="str"/>
      <x:c r="L67" s="6" t="str"/>
      <x:c r="M67" s="6" t="str">
        <x:v>Hoàng Đại Hợp</x:v>
      </x:c>
    </x:row>
    <x:row r="68" ht="44" customHeight="1">
      <x:c r="A68" s="3" t="str">
        <x:v>S2-TC015</x:v>
      </x:c>
      <x:c r="B68" s="3" t="str">
        <x:v>F01 Tài khoản</x:v>
      </x:c>
      <x:c r="C68" s="3" t="str">
        <x:v>Không dùng dữ liệu cache sau đăng xuất</x:v>
      </x:c>
      <x:c r="D68" s="3" t="str">
        <x:v>P1</x:v>
      </x:c>
      <x:c r="E68" s="6" t="str">
        <x:v>Not Run</x:v>
      </x:c>
      <x:c r="F68" s="6" t="str"/>
      <x:c r="G68" s="13"/>
      <x:c r="H68" s="6" t="str"/>
      <x:c r="I68" s="6" t="str"/>
      <x:c r="J68" s="6" t="str"/>
      <x:c r="K68" s="6" t="str"/>
      <x:c r="L68" s="6" t="str"/>
      <x:c r="M68" s="6" t="str">
        <x:v>Hoàng Đại Hợp</x:v>
      </x:c>
    </x:row>
    <x:row r="69" ht="44" customHeight="1">
      <x:c r="A69" s="3" t="str">
        <x:v>S2-TC016</x:v>
      </x:c>
      <x:c r="B69" s="3" t="str">
        <x:v>F01 Tài khoản</x:v>
      </x:c>
      <x:c r="C69" s="3" t="str">
        <x:v>API riêng không có token</x:v>
      </x:c>
      <x:c r="D69" s="3" t="str">
        <x:v>P1</x:v>
      </x:c>
      <x:c r="E69" s="6" t="str">
        <x:v>Not Run</x:v>
      </x:c>
      <x:c r="F69" s="6" t="str"/>
      <x:c r="G69" s="13"/>
      <x:c r="H69" s="6" t="str"/>
      <x:c r="I69" s="6" t="str"/>
      <x:c r="J69" s="6" t="str"/>
      <x:c r="K69" s="6" t="str"/>
      <x:c r="L69" s="6" t="str"/>
      <x:c r="M69" s="6" t="str">
        <x:v>Hoàng Đại Hợp</x:v>
      </x:c>
    </x:row>
    <x:row r="70" ht="44" customHeight="1">
      <x:c r="A70" s="3" t="str">
        <x:v>S2-TC017</x:v>
      </x:c>
      <x:c r="B70" s="3" t="str">
        <x:v>F01 Tài khoản</x:v>
      </x:c>
      <x:c r="C70" s="3" t="str">
        <x:v>API riêng có token sai</x:v>
      </x:c>
      <x:c r="D70" s="3" t="str">
        <x:v>P1</x:v>
      </x:c>
      <x:c r="E70" s="6" t="str">
        <x:v>Not Run</x:v>
      </x:c>
      <x:c r="F70" s="6" t="str"/>
      <x:c r="G70" s="13"/>
      <x:c r="H70" s="6" t="str"/>
      <x:c r="I70" s="6" t="str"/>
      <x:c r="J70" s="6" t="str"/>
      <x:c r="K70" s="6" t="str"/>
      <x:c r="L70" s="6" t="str"/>
      <x:c r="M70" s="6" t="str">
        <x:v>Hoàng Đại Hợp</x:v>
      </x:c>
    </x:row>
    <x:row r="71" ht="44" customHeight="1">
      <x:c r="A71" s="3" t="str">
        <x:v>S2-TC018</x:v>
      </x:c>
      <x:c r="B71" s="3" t="str">
        <x:v>F01 Tài khoản</x:v>
      </x:c>
      <x:c r="C71" s="3" t="str">
        <x:v>Phiên hết hạn</x:v>
      </x:c>
      <x:c r="D71" s="3" t="str">
        <x:v>P1</x:v>
      </x:c>
      <x:c r="E71" s="6" t="str">
        <x:v>Not Run</x:v>
      </x:c>
      <x:c r="F71" s="6" t="str"/>
      <x:c r="G71" s="13"/>
      <x:c r="H71" s="6" t="str"/>
      <x:c r="I71" s="6" t="str"/>
      <x:c r="J71" s="6" t="str"/>
      <x:c r="K71" s="6" t="str"/>
      <x:c r="L71" s="6" t="str"/>
      <x:c r="M71" s="6" t="str">
        <x:v>Hoàng Đại Hợp</x:v>
      </x:c>
    </x:row>
    <x:row r="72" ht="44" customHeight="1">
      <x:c r="A72" s="3" t="str">
        <x:v>S2-TC019</x:v>
      </x:c>
      <x:c r="B72" s="3" t="str">
        <x:v>F01 Tài khoản</x:v>
      </x:c>
      <x:c r="C72" s="3" t="str">
        <x:v>Token cũ sau logout theo chính sách</x:v>
      </x:c>
      <x:c r="D72" s="3" t="str">
        <x:v>P1</x:v>
      </x:c>
      <x:c r="E72" s="6" t="str">
        <x:v>Not Run</x:v>
      </x:c>
      <x:c r="F72" s="6" t="str"/>
      <x:c r="G72" s="13"/>
      <x:c r="H72" s="6" t="str"/>
      <x:c r="I72" s="6" t="str"/>
      <x:c r="J72" s="6" t="str"/>
      <x:c r="K72" s="6" t="str"/>
      <x:c r="L72" s="6" t="str">
        <x:v>Chưa có chính sách thu hồi thì Blocked.</x:v>
      </x:c>
      <x:c r="M72" s="6" t="str">
        <x:v>Hoàng Đại Hợp</x:v>
      </x:c>
    </x:row>
    <x:row r="73" ht="44" customHeight="1">
      <x:c r="A73" s="3" t="str">
        <x:v>S2-TC020</x:v>
      </x:c>
      <x:c r="B73" s="3" t="str">
        <x:v>F01 Hồ sơ</x:v>
      </x:c>
      <x:c r="C73" s="3" t="str">
        <x:v>Cập nhật hồ sơ hợp lệ</x:v>
      </x:c>
      <x:c r="D73" s="3" t="str">
        <x:v>P1</x:v>
      </x:c>
      <x:c r="E73" s="6" t="str">
        <x:v>Not Run</x:v>
      </x:c>
      <x:c r="F73" s="6" t="str"/>
      <x:c r="G73" s="13"/>
      <x:c r="H73" s="6" t="str"/>
      <x:c r="I73" s="6" t="str"/>
      <x:c r="J73" s="6" t="str"/>
      <x:c r="K73" s="6" t="str"/>
      <x:c r="L73" s="6" t="str"/>
      <x:c r="M73" s="6" t="str">
        <x:v>Hoàng Đại Hợp</x:v>
      </x:c>
    </x:row>
    <x:row r="74" ht="44" customHeight="1">
      <x:c r="A74" s="3" t="str">
        <x:v>S2-TC021</x:v>
      </x:c>
      <x:c r="B74" s="3" t="str">
        <x:v>F01 Hồ sơ</x:v>
      </x:c>
      <x:c r="C74" s="3" t="str">
        <x:v>Hồ sơ thiếu trường bắt buộc</x:v>
      </x:c>
      <x:c r="D74" s="3" t="str">
        <x:v>P2</x:v>
      </x:c>
      <x:c r="E74" s="6" t="str">
        <x:v>Not Run</x:v>
      </x:c>
      <x:c r="F74" s="6" t="str"/>
      <x:c r="G74" s="13"/>
      <x:c r="H74" s="6" t="str"/>
      <x:c r="I74" s="6" t="str"/>
      <x:c r="J74" s="6" t="str"/>
      <x:c r="K74" s="6" t="str"/>
      <x:c r="L74" s="6" t="str"/>
      <x:c r="M74" s="6" t="str">
        <x:v>Hoàng Đại Hợp</x:v>
      </x:c>
    </x:row>
    <x:row r="75" ht="57" customHeight="1">
      <x:c r="A75" s="3" t="str">
        <x:v>S2-TC022</x:v>
      </x:c>
      <x:c r="B75" s="3" t="str">
        <x:v>F01 Hồ sơ</x:v>
      </x:c>
      <x:c r="C75" s="3" t="str">
        <x:v>Hồ sơ email sai</x:v>
      </x:c>
      <x:c r="D75" s="3" t="str">
        <x:v>P2</x:v>
      </x:c>
      <x:c r="E75" s="6" t="str">
        <x:v>Not Run</x:v>
      </x:c>
      <x:c r="F75" s="6" t="str"/>
      <x:c r="G75" s="13"/>
      <x:c r="H75" s="6" t="str"/>
      <x:c r="I75" s="6" t="str"/>
      <x:c r="J75" s="6" t="str"/>
      <x:c r="K75" s="6" t="str"/>
      <x:c r="L75" s="6" t="str">
        <x:v>Nếu email không sửa được theo thiết kế, xác nhận và ghi N/A.</x:v>
      </x:c>
      <x:c r="M75" s="6" t="str">
        <x:v>Hoàng Đại Hợp</x:v>
      </x:c>
    </x:row>
    <x:row r="76" ht="44" customHeight="1">
      <x:c r="A76" s="3" t="str">
        <x:v>S2-TC023</x:v>
      </x:c>
      <x:c r="B76" s="3" t="str">
        <x:v>F01 Hồ sơ</x:v>
      </x:c>
      <x:c r="C76" s="3" t="str">
        <x:v>Không sửa hồ sơ người khác</x:v>
      </x:c>
      <x:c r="D76" s="3" t="str">
        <x:v>P1</x:v>
      </x:c>
      <x:c r="E76" s="6" t="str">
        <x:v>Not Run</x:v>
      </x:c>
      <x:c r="F76" s="6" t="str"/>
      <x:c r="G76" s="13"/>
      <x:c r="H76" s="6" t="str"/>
      <x:c r="I76" s="6" t="str"/>
      <x:c r="J76" s="6" t="str"/>
      <x:c r="K76" s="6" t="str"/>
      <x:c r="L76" s="6" t="str"/>
      <x:c r="M76" s="6" t="str">
        <x:v>Hoàng Đại Hợp</x:v>
      </x:c>
    </x:row>
    <x:row r="77" ht="44" customHeight="1">
      <x:c r="A77" s="3" t="str">
        <x:v>S2-TC024</x:v>
      </x:c>
      <x:c r="B77" s="3" t="str">
        <x:v>F01 Hồ sơ</x:v>
      </x:c>
      <x:c r="C77" s="3" t="str">
        <x:v>Đổi mật khẩu hợp lệ</x:v>
      </x:c>
      <x:c r="D77" s="3" t="str">
        <x:v>P1</x:v>
      </x:c>
      <x:c r="E77" s="6" t="str">
        <x:v>Not Run</x:v>
      </x:c>
      <x:c r="F77" s="6" t="str"/>
      <x:c r="G77" s="13"/>
      <x:c r="H77" s="6" t="str"/>
      <x:c r="I77" s="6" t="str"/>
      <x:c r="J77" s="6" t="str"/>
      <x:c r="K77" s="6" t="str"/>
      <x:c r="L77" s="6" t="str"/>
      <x:c r="M77" s="6" t="str">
        <x:v>Hoàng Đại Hợp</x:v>
      </x:c>
    </x:row>
    <x:row r="78" ht="44" customHeight="1">
      <x:c r="A78" s="3" t="str">
        <x:v>S2-TC025</x:v>
      </x:c>
      <x:c r="B78" s="3" t="str">
        <x:v>F01 Hồ sơ</x:v>
      </x:c>
      <x:c r="C78" s="3" t="str">
        <x:v>Mật khẩu cũ không dùng được sau đổi</x:v>
      </x:c>
      <x:c r="D78" s="3" t="str">
        <x:v>P1</x:v>
      </x:c>
      <x:c r="E78" s="6" t="str">
        <x:v>Not Run</x:v>
      </x:c>
      <x:c r="F78" s="6" t="str"/>
      <x:c r="G78" s="13"/>
      <x:c r="H78" s="6" t="str"/>
      <x:c r="I78" s="6" t="str"/>
      <x:c r="J78" s="6" t="str"/>
      <x:c r="K78" s="6" t="str"/>
      <x:c r="L78" s="6" t="str"/>
      <x:c r="M78" s="6" t="str">
        <x:v>Hoàng Đại Hợp</x:v>
      </x:c>
    </x:row>
    <x:row r="79" ht="44" customHeight="1">
      <x:c r="A79" s="3" t="str">
        <x:v>S2-TC026</x:v>
      </x:c>
      <x:c r="B79" s="3" t="str">
        <x:v>F01 Hồ sơ</x:v>
      </x:c>
      <x:c r="C79" s="3" t="str">
        <x:v>Đổi mật khẩu với mật khẩu hiện tại sai</x:v>
      </x:c>
      <x:c r="D79" s="3" t="str">
        <x:v>P1</x:v>
      </x:c>
      <x:c r="E79" s="6" t="str">
        <x:v>Not Run</x:v>
      </x:c>
      <x:c r="F79" s="6" t="str"/>
      <x:c r="G79" s="13"/>
      <x:c r="H79" s="6" t="str"/>
      <x:c r="I79" s="6" t="str"/>
      <x:c r="J79" s="6" t="str"/>
      <x:c r="K79" s="6" t="str"/>
      <x:c r="L79" s="6" t="str"/>
      <x:c r="M79" s="6" t="str">
        <x:v>Hoàng Đại Hợp</x:v>
      </x:c>
    </x:row>
    <x:row r="80" ht="44" customHeight="1">
      <x:c r="A80" s="3" t="str">
        <x:v>S2-TC027</x:v>
      </x:c>
      <x:c r="B80" s="3" t="str">
        <x:v>F01 Hồ sơ</x:v>
      </x:c>
      <x:c r="C80" s="3" t="str">
        <x:v>Đổi mật khẩu mới không hợp lệ</x:v>
      </x:c>
      <x:c r="D80" s="3" t="str">
        <x:v>P2</x:v>
      </x:c>
      <x:c r="E80" s="6" t="str">
        <x:v>Not Run</x:v>
      </x:c>
      <x:c r="F80" s="6" t="str"/>
      <x:c r="G80" s="13"/>
      <x:c r="H80" s="6" t="str"/>
      <x:c r="I80" s="6" t="str"/>
      <x:c r="J80" s="6" t="str"/>
      <x:c r="K80" s="6" t="str"/>
      <x:c r="L80" s="6" t="str"/>
      <x:c r="M80" s="6" t="str">
        <x:v>Hoàng Đại Hợp</x:v>
      </x:c>
    </x:row>
    <x:row r="81" ht="44" customHeight="1">
      <x:c r="A81" s="3" t="str">
        <x:v>S2-TC028</x:v>
      </x:c>
      <x:c r="B81" s="3" t="str">
        <x:v>F01 Hồ sơ</x:v>
      </x:c>
      <x:c r="C81" s="3" t="str">
        <x:v>Cập nhật ảnh đại diện</x:v>
      </x:c>
      <x:c r="D81" s="3" t="str">
        <x:v>P2</x:v>
      </x:c>
      <x:c r="E81" s="6" t="str">
        <x:v>Not Run</x:v>
      </x:c>
      <x:c r="F81" s="6" t="str"/>
      <x:c r="G81" s="13"/>
      <x:c r="H81" s="6" t="str"/>
      <x:c r="I81" s="6" t="str"/>
      <x:c r="J81" s="6" t="str"/>
      <x:c r="K81" s="6" t="str"/>
      <x:c r="L81" s="6" t="str"/>
      <x:c r="M81" s="6" t="str">
        <x:v>Hoàng Đại Hợp</x:v>
      </x:c>
    </x:row>
    <x:row r="82" ht="44" customHeight="1">
      <x:c r="A82" s="3" t="str">
        <x:v>S2-TC029</x:v>
      </x:c>
      <x:c r="B82" s="3" t="str">
        <x:v>F01 Hồ sơ</x:v>
      </x:c>
      <x:c r="C82" s="3" t="str">
        <x:v>Ảnh đại diện sai định dạng</x:v>
      </x:c>
      <x:c r="D82" s="3" t="str">
        <x:v>P2</x:v>
      </x:c>
      <x:c r="E82" s="6" t="str">
        <x:v>Not Run</x:v>
      </x:c>
      <x:c r="F82" s="6" t="str"/>
      <x:c r="G82" s="13"/>
      <x:c r="H82" s="6" t="str"/>
      <x:c r="I82" s="6" t="str"/>
      <x:c r="J82" s="6" t="str"/>
      <x:c r="K82" s="6" t="str"/>
      <x:c r="L82" s="6" t="str"/>
      <x:c r="M82" s="6" t="str">
        <x:v>Hoàng Đại Hợp</x:v>
      </x:c>
    </x:row>
    <x:row r="83" ht="44" customHeight="1">
      <x:c r="A83" s="3" t="str">
        <x:v>S2-TC030</x:v>
      </x:c>
      <x:c r="B83" s="3" t="str">
        <x:v>F02 Tin đăng</x:v>
      </x:c>
      <x:c r="C83" s="3" t="str">
        <x:v>Tạo tin hợp lệ</x:v>
      </x:c>
      <x:c r="D83" s="3" t="str">
        <x:v>P1</x:v>
      </x:c>
      <x:c r="E83" s="6" t="str">
        <x:v>Not Run</x:v>
      </x:c>
      <x:c r="F83" s="6" t="str"/>
      <x:c r="G83" s="13"/>
      <x:c r="H83" s="6" t="str"/>
      <x:c r="I83" s="6" t="str"/>
      <x:c r="J83" s="6" t="str"/>
      <x:c r="K83" s="6" t="str"/>
      <x:c r="L83" s="6" t="str"/>
      <x:c r="M83" s="6" t="str">
        <x:v>Hoàng Đại Hợp</x:v>
      </x:c>
    </x:row>
    <x:row r="84" ht="44" customHeight="1">
      <x:c r="A84" s="3" t="str">
        <x:v>S2-TC031</x:v>
      </x:c>
      <x:c r="B84" s="3" t="str">
        <x:v>F02 Tin đăng</x:v>
      </x:c>
      <x:c r="C84" s="3" t="str">
        <x:v>Danh sách tin công khai</x:v>
      </x:c>
      <x:c r="D84" s="3" t="str">
        <x:v>P1</x:v>
      </x:c>
      <x:c r="E84" s="6" t="str">
        <x:v>Not Run</x:v>
      </x:c>
      <x:c r="F84" s="6" t="str"/>
      <x:c r="G84" s="13"/>
      <x:c r="H84" s="6" t="str"/>
      <x:c r="I84" s="6" t="str"/>
      <x:c r="J84" s="6" t="str"/>
      <x:c r="K84" s="6" t="str"/>
      <x:c r="L84" s="6" t="str"/>
      <x:c r="M84" s="6" t="str">
        <x:v>Hoàng Đại Hợp</x:v>
      </x:c>
    </x:row>
    <x:row r="85" ht="44" customHeight="1">
      <x:c r="A85" s="3" t="str">
        <x:v>S2-TC032</x:v>
      </x:c>
      <x:c r="B85" s="3" t="str">
        <x:v>F02 Tin đăng</x:v>
      </x:c>
      <x:c r="C85" s="3" t="str">
        <x:v>Chi tiết tin đúng dữ liệu</x:v>
      </x:c>
      <x:c r="D85" s="3" t="str">
        <x:v>P1</x:v>
      </x:c>
      <x:c r="E85" s="6" t="str">
        <x:v>Not Run</x:v>
      </x:c>
      <x:c r="F85" s="6" t="str"/>
      <x:c r="G85" s="13"/>
      <x:c r="H85" s="6" t="str"/>
      <x:c r="I85" s="6" t="str"/>
      <x:c r="J85" s="6" t="str"/>
      <x:c r="K85" s="6" t="str"/>
      <x:c r="L85" s="6" t="str"/>
      <x:c r="M85" s="6" t="str">
        <x:v>Hoàng Đại Hợp</x:v>
      </x:c>
    </x:row>
    <x:row r="86" ht="44" customHeight="1">
      <x:c r="A86" s="3" t="str">
        <x:v>S2-TC033</x:v>
      </x:c>
      <x:c r="B86" s="3" t="str">
        <x:v>F02 Tin đăng</x:v>
      </x:c>
      <x:c r="C86" s="3" t="str">
        <x:v>Chi tiết ID không tồn tại</x:v>
      </x:c>
      <x:c r="D86" s="3" t="str">
        <x:v>P2</x:v>
      </x:c>
      <x:c r="E86" s="6" t="str">
        <x:v>Not Run</x:v>
      </x:c>
      <x:c r="F86" s="6" t="str"/>
      <x:c r="G86" s="13"/>
      <x:c r="H86" s="6" t="str"/>
      <x:c r="I86" s="6" t="str"/>
      <x:c r="J86" s="6" t="str"/>
      <x:c r="K86" s="6" t="str"/>
      <x:c r="L86" s="6" t="str"/>
      <x:c r="M86" s="6" t="str">
        <x:v>Hoàng Đại Hợp</x:v>
      </x:c>
    </x:row>
    <x:row r="87" ht="44" customHeight="1">
      <x:c r="A87" s="3" t="str">
        <x:v>S2-TC034</x:v>
      </x:c>
      <x:c r="B87" s="3" t="str">
        <x:v>F02 Tin đăng</x:v>
      </x:c>
      <x:c r="C87" s="3" t="str">
        <x:v>Sửa tin của mình</x:v>
      </x:c>
      <x:c r="D87" s="3" t="str">
        <x:v>P1</x:v>
      </x:c>
      <x:c r="E87" s="6" t="str">
        <x:v>Not Run</x:v>
      </x:c>
      <x:c r="F87" s="6" t="str"/>
      <x:c r="G87" s="13"/>
      <x:c r="H87" s="6" t="str"/>
      <x:c r="I87" s="6" t="str"/>
      <x:c r="J87" s="6" t="str"/>
      <x:c r="K87" s="6" t="str"/>
      <x:c r="L87" s="6" t="str"/>
      <x:c r="M87" s="6" t="str">
        <x:v>Hoàng Đại Hợp</x:v>
      </x:c>
    </x:row>
    <x:row r="88" ht="44" customHeight="1">
      <x:c r="A88" s="3" t="str">
        <x:v>S2-TC035</x:v>
      </x:c>
      <x:c r="B88" s="3" t="str">
        <x:v>F02 Tin đăng</x:v>
      </x:c>
      <x:c r="C88" s="3" t="str">
        <x:v>Hủy thao tác sửa</x:v>
      </x:c>
      <x:c r="D88" s="3" t="str">
        <x:v>P2</x:v>
      </x:c>
      <x:c r="E88" s="6" t="str">
        <x:v>Not Run</x:v>
      </x:c>
      <x:c r="F88" s="6" t="str"/>
      <x:c r="G88" s="13"/>
      <x:c r="H88" s="6" t="str"/>
      <x:c r="I88" s="6" t="str"/>
      <x:c r="J88" s="6" t="str"/>
      <x:c r="K88" s="6" t="str"/>
      <x:c r="L88" s="6" t="str"/>
      <x:c r="M88" s="6" t="str">
        <x:v>Hoàng Đại Hợp</x:v>
      </x:c>
    </x:row>
    <x:row r="89" ht="44" customHeight="1">
      <x:c r="A89" s="3" t="str">
        <x:v>S2-TC036</x:v>
      </x:c>
      <x:c r="B89" s="3" t="str">
        <x:v>F02 Tin đăng</x:v>
      </x:c>
      <x:c r="C89" s="3" t="str">
        <x:v>Ẩn tin của mình</x:v>
      </x:c>
      <x:c r="D89" s="3" t="str">
        <x:v>P1</x:v>
      </x:c>
      <x:c r="E89" s="6" t="str">
        <x:v>Not Run</x:v>
      </x:c>
      <x:c r="F89" s="6" t="str"/>
      <x:c r="G89" s="13"/>
      <x:c r="H89" s="6" t="str"/>
      <x:c r="I89" s="6" t="str"/>
      <x:c r="J89" s="6" t="str"/>
      <x:c r="K89" s="6" t="str"/>
      <x:c r="L89" s="6" t="str"/>
      <x:c r="M89" s="6" t="str">
        <x:v>Hoàng Đại Hợp</x:v>
      </x:c>
    </x:row>
    <x:row r="90" ht="44" customHeight="1">
      <x:c r="A90" s="3" t="str">
        <x:v>S2-TC037</x:v>
      </x:c>
      <x:c r="B90" s="3" t="str">
        <x:v>F02 Tin đăng</x:v>
      </x:c>
      <x:c r="C90" s="3" t="str">
        <x:v>Xóa tin của mình</x:v>
      </x:c>
      <x:c r="D90" s="3" t="str">
        <x:v>P1</x:v>
      </x:c>
      <x:c r="E90" s="6" t="str">
        <x:v>Not Run</x:v>
      </x:c>
      <x:c r="F90" s="6" t="str"/>
      <x:c r="G90" s="13"/>
      <x:c r="H90" s="6" t="str"/>
      <x:c r="I90" s="6" t="str"/>
      <x:c r="J90" s="6" t="str"/>
      <x:c r="K90" s="6" t="str"/>
      <x:c r="L90" s="6" t="str"/>
      <x:c r="M90" s="6" t="str">
        <x:v>Hoàng Đại Hợp</x:v>
      </x:c>
    </x:row>
    <x:row r="91" ht="44" customHeight="1">
      <x:c r="A91" s="3" t="str">
        <x:v>S2-TC038</x:v>
      </x:c>
      <x:c r="B91" s="3" t="str">
        <x:v>F02 Tin đăng</x:v>
      </x:c>
      <x:c r="C91" s="3" t="str">
        <x:v>Hủy xác nhận xóa</x:v>
      </x:c>
      <x:c r="D91" s="3" t="str">
        <x:v>P2</x:v>
      </x:c>
      <x:c r="E91" s="6" t="str">
        <x:v>Not Run</x:v>
      </x:c>
      <x:c r="F91" s="6" t="str"/>
      <x:c r="G91" s="13"/>
      <x:c r="H91" s="6" t="str"/>
      <x:c r="I91" s="6" t="str"/>
      <x:c r="J91" s="6" t="str"/>
      <x:c r="K91" s="6" t="str"/>
      <x:c r="L91" s="6" t="str"/>
      <x:c r="M91" s="6" t="str">
        <x:v>Hoàng Đại Hợp</x:v>
      </x:c>
    </x:row>
    <x:row r="92" ht="72" customHeight="1">
      <x:c r="A92" s="3" t="str">
        <x:v>S2-TC039</x:v>
      </x:c>
      <x:c r="B92" s="3" t="str">
        <x:v>F02 Tin đăng</x:v>
      </x:c>
      <x:c r="C92" s="3" t="str">
        <x:v>Thiếu tiêu đề</x:v>
      </x:c>
      <x:c r="D92" s="3" t="str">
        <x:v>P2</x:v>
      </x:c>
      <x:c r="E92" s="6" t="str">
        <x:v>Not Run</x:v>
      </x:c>
      <x:c r="F92" s="6" t="str"/>
      <x:c r="G92" s="13"/>
      <x:c r="H92" s="6" t="str"/>
      <x:c r="I92" s="6" t="str"/>
      <x:c r="J92" s="6" t="str"/>
      <x:c r="K92" s="6" t="str"/>
      <x:c r="L92" s="6" t="str">
        <x:v>Xác nhận trường bắt buộc ở Du lieu; trường tùy chọn cần điều chỉnh mong đợi trước chạy.</x:v>
      </x:c>
      <x:c r="M92" s="6" t="str">
        <x:v>Hoàng Đại Hợp</x:v>
      </x:c>
    </x:row>
    <x:row r="93" ht="72" customHeight="1">
      <x:c r="A93" s="3" t="str">
        <x:v>S2-TC040</x:v>
      </x:c>
      <x:c r="B93" s="3" t="str">
        <x:v>F02 Tin đăng</x:v>
      </x:c>
      <x:c r="C93" s="3" t="str">
        <x:v>Thiếu mô tả</x:v>
      </x:c>
      <x:c r="D93" s="3" t="str">
        <x:v>P2</x:v>
      </x:c>
      <x:c r="E93" s="6" t="str">
        <x:v>Not Run</x:v>
      </x:c>
      <x:c r="F93" s="6" t="str"/>
      <x:c r="G93" s="13"/>
      <x:c r="H93" s="6" t="str"/>
      <x:c r="I93" s="6" t="str"/>
      <x:c r="J93" s="6" t="str"/>
      <x:c r="K93" s="6" t="str"/>
      <x:c r="L93" s="6" t="str">
        <x:v>Xác nhận trường bắt buộc ở Du lieu; trường tùy chọn cần điều chỉnh mong đợi trước chạy.</x:v>
      </x:c>
      <x:c r="M93" s="6" t="str">
        <x:v>Hoàng Đại Hợp</x:v>
      </x:c>
    </x:row>
    <x:row r="94" ht="72" customHeight="1">
      <x:c r="A94" s="3" t="str">
        <x:v>S2-TC041</x:v>
      </x:c>
      <x:c r="B94" s="3" t="str">
        <x:v>F02 Tin đăng</x:v>
      </x:c>
      <x:c r="C94" s="3" t="str">
        <x:v>Thiếu giá</x:v>
      </x:c>
      <x:c r="D94" s="3" t="str">
        <x:v>P2</x:v>
      </x:c>
      <x:c r="E94" s="6" t="str">
        <x:v>Not Run</x:v>
      </x:c>
      <x:c r="F94" s="6" t="str"/>
      <x:c r="G94" s="13"/>
      <x:c r="H94" s="6" t="str"/>
      <x:c r="I94" s="6" t="str"/>
      <x:c r="J94" s="6" t="str"/>
      <x:c r="K94" s="6" t="str"/>
      <x:c r="L94" s="6" t="str">
        <x:v>Xác nhận trường bắt buộc ở Du lieu; trường tùy chọn cần điều chỉnh mong đợi trước chạy.</x:v>
      </x:c>
      <x:c r="M94" s="6" t="str">
        <x:v>Hoàng Đại Hợp</x:v>
      </x:c>
    </x:row>
    <x:row r="95" ht="72" customHeight="1">
      <x:c r="A95" s="3" t="str">
        <x:v>S2-TC042</x:v>
      </x:c>
      <x:c r="B95" s="3" t="str">
        <x:v>F02 Tin đăng</x:v>
      </x:c>
      <x:c r="C95" s="3" t="str">
        <x:v>Thiếu diện tích</x:v>
      </x:c>
      <x:c r="D95" s="3" t="str">
        <x:v>P2</x:v>
      </x:c>
      <x:c r="E95" s="6" t="str">
        <x:v>Not Run</x:v>
      </x:c>
      <x:c r="F95" s="6" t="str"/>
      <x:c r="G95" s="13"/>
      <x:c r="H95" s="6" t="str"/>
      <x:c r="I95" s="6" t="str"/>
      <x:c r="J95" s="6" t="str"/>
      <x:c r="K95" s="6" t="str"/>
      <x:c r="L95" s="6" t="str">
        <x:v>Xác nhận trường bắt buộc ở Du lieu; trường tùy chọn cần điều chỉnh mong đợi trước chạy.</x:v>
      </x:c>
      <x:c r="M95" s="6" t="str">
        <x:v>Hoàng Đại Hợp</x:v>
      </x:c>
    </x:row>
    <x:row r="96" ht="72" customHeight="1">
      <x:c r="A96" s="3" t="str">
        <x:v>S2-TC043</x:v>
      </x:c>
      <x:c r="B96" s="3" t="str">
        <x:v>F02 Tin đăng</x:v>
      </x:c>
      <x:c r="C96" s="3" t="str">
        <x:v>Thiếu loại căn hộ</x:v>
      </x:c>
      <x:c r="D96" s="3" t="str">
        <x:v>P2</x:v>
      </x:c>
      <x:c r="E96" s="6" t="str">
        <x:v>Not Run</x:v>
      </x:c>
      <x:c r="F96" s="6" t="str"/>
      <x:c r="G96" s="13"/>
      <x:c r="H96" s="6" t="str"/>
      <x:c r="I96" s="6" t="str"/>
      <x:c r="J96" s="6" t="str"/>
      <x:c r="K96" s="6" t="str"/>
      <x:c r="L96" s="6" t="str">
        <x:v>Xác nhận trường bắt buộc ở Du lieu; trường tùy chọn cần điều chỉnh mong đợi trước chạy.</x:v>
      </x:c>
      <x:c r="M96" s="6" t="str">
        <x:v>Hoàng Đại Hợp</x:v>
      </x:c>
    </x:row>
    <x:row r="97" ht="44" customHeight="1">
      <x:c r="A97" s="3" t="str">
        <x:v>S2-TC044</x:v>
      </x:c>
      <x:c r="B97" s="3" t="str">
        <x:v>F02 Tin đăng</x:v>
      </x:c>
      <x:c r="C97" s="3" t="str">
        <x:v>giá âm</x:v>
      </x:c>
      <x:c r="D97" s="3" t="str">
        <x:v>P2</x:v>
      </x:c>
      <x:c r="E97" s="6" t="str">
        <x:v>Not Run</x:v>
      </x:c>
      <x:c r="F97" s="6" t="str"/>
      <x:c r="G97" s="13"/>
      <x:c r="H97" s="6" t="str"/>
      <x:c r="I97" s="6" t="str"/>
      <x:c r="J97" s="6" t="str"/>
      <x:c r="K97" s="6" t="str"/>
      <x:c r="L97" s="6" t="str"/>
      <x:c r="M97" s="6" t="str">
        <x:v>Hoàng Đại Hợp</x:v>
      </x:c>
    </x:row>
    <x:row r="98" ht="44" customHeight="1">
      <x:c r="A98" s="3" t="str">
        <x:v>S2-TC045</x:v>
      </x:c>
      <x:c r="B98" s="3" t="str">
        <x:v>F02 Tin đăng</x:v>
      </x:c>
      <x:c r="C98" s="3" t="str">
        <x:v>giá sai kiểu</x:v>
      </x:c>
      <x:c r="D98" s="3" t="str">
        <x:v>P1</x:v>
      </x:c>
      <x:c r="E98" s="6" t="str">
        <x:v>Not Run</x:v>
      </x:c>
      <x:c r="F98" s="6" t="str"/>
      <x:c r="G98" s="13"/>
      <x:c r="H98" s="6" t="str"/>
      <x:c r="I98" s="6" t="str"/>
      <x:c r="J98" s="6" t="str"/>
      <x:c r="K98" s="6" t="str"/>
      <x:c r="L98" s="6" t="str"/>
      <x:c r="M98" s="6" t="str">
        <x:v>Hoàng Đại Hợp</x:v>
      </x:c>
    </x:row>
    <x:row r="99" ht="44" customHeight="1">
      <x:c r="A99" s="3" t="str">
        <x:v>S2-TC046</x:v>
      </x:c>
      <x:c r="B99" s="3" t="str">
        <x:v>F02 Tin đăng</x:v>
      </x:c>
      <x:c r="C99" s="3" t="str">
        <x:v>giá bằng 0</x:v>
      </x:c>
      <x:c r="D99" s="3" t="str">
        <x:v>P2</x:v>
      </x:c>
      <x:c r="E99" s="6" t="str">
        <x:v>Not Run</x:v>
      </x:c>
      <x:c r="F99" s="6" t="str"/>
      <x:c r="G99" s="13"/>
      <x:c r="H99" s="6" t="str"/>
      <x:c r="I99" s="6" t="str"/>
      <x:c r="J99" s="6" t="str"/>
      <x:c r="K99" s="6" t="str"/>
      <x:c r="L99" s="6" t="str">
        <x:v>Chưa xác nhận quy tắc 0 thì Blocked.</x:v>
      </x:c>
      <x:c r="M99" s="6" t="str">
        <x:v>Hoàng Đại Hợp</x:v>
      </x:c>
    </x:row>
    <x:row r="100" ht="44" customHeight="1">
      <x:c r="A100" s="3" t="str">
        <x:v>S2-TC047</x:v>
      </x:c>
      <x:c r="B100" s="3" t="str">
        <x:v>F02 Tin đăng</x:v>
      </x:c>
      <x:c r="C100" s="3" t="str">
        <x:v>diện tích âm</x:v>
      </x:c>
      <x:c r="D100" s="3" t="str">
        <x:v>P2</x:v>
      </x:c>
      <x:c r="E100" s="6" t="str">
        <x:v>Not Run</x:v>
      </x:c>
      <x:c r="F100" s="6" t="str"/>
      <x:c r="G100" s="13"/>
      <x:c r="H100" s="6" t="str"/>
      <x:c r="I100" s="6" t="str"/>
      <x:c r="J100" s="6" t="str"/>
      <x:c r="K100" s="6" t="str"/>
      <x:c r="L100" s="6" t="str"/>
      <x:c r="M100" s="6" t="str">
        <x:v>Hoàng Đại Hợp</x:v>
      </x:c>
    </x:row>
    <x:row r="101" ht="44" customHeight="1">
      <x:c r="A101" s="3" t="str">
        <x:v>S2-TC048</x:v>
      </x:c>
      <x:c r="B101" s="3" t="str">
        <x:v>F02 Tin đăng</x:v>
      </x:c>
      <x:c r="C101" s="3" t="str">
        <x:v>diện tích sai kiểu</x:v>
      </x:c>
      <x:c r="D101" s="3" t="str">
        <x:v>P1</x:v>
      </x:c>
      <x:c r="E101" s="6" t="str">
        <x:v>Not Run</x:v>
      </x:c>
      <x:c r="F101" s="6" t="str"/>
      <x:c r="G101" s="13"/>
      <x:c r="H101" s="6" t="str"/>
      <x:c r="I101" s="6" t="str"/>
      <x:c r="J101" s="6" t="str"/>
      <x:c r="K101" s="6" t="str"/>
      <x:c r="L101" s="6" t="str"/>
      <x:c r="M101" s="6" t="str">
        <x:v>Hoàng Đại Hợp</x:v>
      </x:c>
    </x:row>
    <x:row r="102" ht="44" customHeight="1">
      <x:c r="A102" s="3" t="str">
        <x:v>S2-TC049</x:v>
      </x:c>
      <x:c r="B102" s="3" t="str">
        <x:v>F02 Tin đăng</x:v>
      </x:c>
      <x:c r="C102" s="3" t="str">
        <x:v>diện tích bằng 0</x:v>
      </x:c>
      <x:c r="D102" s="3" t="str">
        <x:v>P2</x:v>
      </x:c>
      <x:c r="E102" s="6" t="str">
        <x:v>Not Run</x:v>
      </x:c>
      <x:c r="F102" s="6" t="str"/>
      <x:c r="G102" s="13"/>
      <x:c r="H102" s="6" t="str"/>
      <x:c r="I102" s="6" t="str"/>
      <x:c r="J102" s="6" t="str"/>
      <x:c r="K102" s="6" t="str"/>
      <x:c r="L102" s="6" t="str">
        <x:v>Chưa xác nhận quy tắc 0 thì Blocked.</x:v>
      </x:c>
      <x:c r="M102" s="6" t="str">
        <x:v>Hoàng Đại Hợp</x:v>
      </x:c>
    </x:row>
    <x:row r="103" ht="44" customHeight="1">
      <x:c r="A103" s="3" t="str">
        <x:v>S2-TC050</x:v>
      </x:c>
      <x:c r="B103" s="3" t="str">
        <x:v>F02 Tin đăng</x:v>
      </x:c>
      <x:c r="C103" s="3" t="str">
        <x:v>Tiêu đề dài Tmax</x:v>
      </x:c>
      <x:c r="D103" s="3" t="str">
        <x:v>P2</x:v>
      </x:c>
      <x:c r="E103" s="6" t="str">
        <x:v>Not Run</x:v>
      </x:c>
      <x:c r="F103" s="6" t="str"/>
      <x:c r="G103" s="13"/>
      <x:c r="H103" s="6" t="str"/>
      <x:c r="I103" s="6" t="str"/>
      <x:c r="J103" s="6" t="str"/>
      <x:c r="K103" s="6" t="str"/>
      <x:c r="L103" s="6" t="str"/>
      <x:c r="M103" s="6" t="str">
        <x:v>Hoàng Đại Hợp</x:v>
      </x:c>
    </x:row>
    <x:row r="104" ht="44" customHeight="1">
      <x:c r="A104" s="3" t="str">
        <x:v>S2-TC051</x:v>
      </x:c>
      <x:c r="B104" s="3" t="str">
        <x:v>F02 Tin đăng</x:v>
      </x:c>
      <x:c r="C104" s="3" t="str">
        <x:v>Tiêu đề dài Tmax+1</x:v>
      </x:c>
      <x:c r="D104" s="3" t="str">
        <x:v>P2</x:v>
      </x:c>
      <x:c r="E104" s="6" t="str">
        <x:v>Not Run</x:v>
      </x:c>
      <x:c r="F104" s="6" t="str"/>
      <x:c r="G104" s="13"/>
      <x:c r="H104" s="6" t="str"/>
      <x:c r="I104" s="6" t="str"/>
      <x:c r="J104" s="6" t="str"/>
      <x:c r="K104" s="6" t="str"/>
      <x:c r="L104" s="6" t="str"/>
      <x:c r="M104" s="6" t="str">
        <x:v>Hoàng Đại Hợp</x:v>
      </x:c>
    </x:row>
    <x:row r="105" ht="44" customHeight="1">
      <x:c r="A105" s="3" t="str">
        <x:v>S2-TC052</x:v>
      </x:c>
      <x:c r="B105" s="3" t="str">
        <x:v>F02 Tin đăng</x:v>
      </x:c>
      <x:c r="C105" s="3" t="str">
        <x:v>Upload nhiều ảnh hợp lệ</x:v>
      </x:c>
      <x:c r="D105" s="3" t="str">
        <x:v>P2</x:v>
      </x:c>
      <x:c r="E105" s="6" t="str">
        <x:v>Not Run</x:v>
      </x:c>
      <x:c r="F105" s="6" t="str"/>
      <x:c r="G105" s="13"/>
      <x:c r="H105" s="6" t="str"/>
      <x:c r="I105" s="6" t="str"/>
      <x:c r="J105" s="6" t="str"/>
      <x:c r="K105" s="6" t="str"/>
      <x:c r="L105" s="6" t="str"/>
      <x:c r="M105" s="6" t="str">
        <x:v>Hoàng Đại Hợp</x:v>
      </x:c>
    </x:row>
    <x:row r="106" ht="44" customHeight="1">
      <x:c r="A106" s="3" t="str">
        <x:v>S2-TC053</x:v>
      </x:c>
      <x:c r="B106" s="3" t="str">
        <x:v>F02 Tin đăng</x:v>
      </x:c>
      <x:c r="C106" s="3" t="str">
        <x:v>Upload tệp không phải ảnh</x:v>
      </x:c>
      <x:c r="D106" s="3" t="str">
        <x:v>P1</x:v>
      </x:c>
      <x:c r="E106" s="6" t="str">
        <x:v>Not Run</x:v>
      </x:c>
      <x:c r="F106" s="6" t="str"/>
      <x:c r="G106" s="13"/>
      <x:c r="H106" s="6" t="str"/>
      <x:c r="I106" s="6" t="str"/>
      <x:c r="J106" s="6" t="str"/>
      <x:c r="K106" s="6" t="str"/>
      <x:c r="L106" s="6" t="str"/>
      <x:c r="M106" s="6" t="str">
        <x:v>Hoàng Đại Hợp</x:v>
      </x:c>
    </x:row>
    <x:row r="107" ht="44" customHeight="1">
      <x:c r="A107" s="3" t="str">
        <x:v>S2-TC054</x:v>
      </x:c>
      <x:c r="B107" s="3" t="str">
        <x:v>F02 Tin đăng</x:v>
      </x:c>
      <x:c r="C107" s="3" t="str">
        <x:v>Dung lượng ảnh Bmax</x:v>
      </x:c>
      <x:c r="D107" s="3" t="str">
        <x:v>P2</x:v>
      </x:c>
      <x:c r="E107" s="6" t="str">
        <x:v>Not Run</x:v>
      </x:c>
      <x:c r="F107" s="6" t="str"/>
      <x:c r="G107" s="13"/>
      <x:c r="H107" s="6" t="str"/>
      <x:c r="I107" s="6" t="str"/>
      <x:c r="J107" s="6" t="str"/>
      <x:c r="K107" s="6" t="str"/>
      <x:c r="L107" s="6" t="str"/>
      <x:c r="M107" s="6" t="str">
        <x:v>Hoàng Đại Hợp</x:v>
      </x:c>
    </x:row>
    <x:row r="108" ht="44" customHeight="1">
      <x:c r="A108" s="3" t="str">
        <x:v>S2-TC055</x:v>
      </x:c>
      <x:c r="B108" s="3" t="str">
        <x:v>F02 Tin đăng</x:v>
      </x:c>
      <x:c r="C108" s="3" t="str">
        <x:v>Dung lượng ảnh Bmax+1 byte</x:v>
      </x:c>
      <x:c r="D108" s="3" t="str">
        <x:v>P2</x:v>
      </x:c>
      <x:c r="E108" s="6" t="str">
        <x:v>Not Run</x:v>
      </x:c>
      <x:c r="F108" s="6" t="str"/>
      <x:c r="G108" s="13"/>
      <x:c r="H108" s="6" t="str"/>
      <x:c r="I108" s="6" t="str"/>
      <x:c r="J108" s="6" t="str"/>
      <x:c r="K108" s="6" t="str"/>
      <x:c r="L108" s="6" t="str"/>
      <x:c r="M108" s="6" t="str">
        <x:v>Hoàng Đại Hợp</x:v>
      </x:c>
    </x:row>
    <x:row r="109" ht="44" customHeight="1">
      <x:c r="A109" s="3" t="str">
        <x:v>S2-TC056</x:v>
      </x:c>
      <x:c r="B109" s="3" t="str">
        <x:v>F02 Tin đăng</x:v>
      </x:c>
      <x:c r="C109" s="3" t="str">
        <x:v>Số ảnh Nmax</x:v>
      </x:c>
      <x:c r="D109" s="3" t="str">
        <x:v>P2</x:v>
      </x:c>
      <x:c r="E109" s="6" t="str">
        <x:v>Not Run</x:v>
      </x:c>
      <x:c r="F109" s="6" t="str"/>
      <x:c r="G109" s="13"/>
      <x:c r="H109" s="6" t="str"/>
      <x:c r="I109" s="6" t="str"/>
      <x:c r="J109" s="6" t="str"/>
      <x:c r="K109" s="6" t="str"/>
      <x:c r="L109" s="6" t="str"/>
      <x:c r="M109" s="6" t="str">
        <x:v>Hoàng Đại Hợp</x:v>
      </x:c>
    </x:row>
    <x:row r="110" ht="44" customHeight="1">
      <x:c r="A110" s="3" t="str">
        <x:v>S2-TC057</x:v>
      </x:c>
      <x:c r="B110" s="3" t="str">
        <x:v>F02 Tin đăng</x:v>
      </x:c>
      <x:c r="C110" s="3" t="str">
        <x:v>Số ảnh Nmax+1</x:v>
      </x:c>
      <x:c r="D110" s="3" t="str">
        <x:v>P2</x:v>
      </x:c>
      <x:c r="E110" s="6" t="str">
        <x:v>Not Run</x:v>
      </x:c>
      <x:c r="F110" s="6" t="str"/>
      <x:c r="G110" s="13"/>
      <x:c r="H110" s="6" t="str"/>
      <x:c r="I110" s="6" t="str"/>
      <x:c r="J110" s="6" t="str"/>
      <x:c r="K110" s="6" t="str"/>
      <x:c r="L110" s="6" t="str"/>
      <x:c r="M110" s="6" t="str">
        <x:v>Hoàng Đại Hợp</x:v>
      </x:c>
    </x:row>
    <x:row r="111" ht="44" customHeight="1">
      <x:c r="A111" s="3" t="str">
        <x:v>S2-TC058</x:v>
      </x:c>
      <x:c r="B111" s="3" t="str">
        <x:v>F02 Tin đăng</x:v>
      </x:c>
      <x:c r="C111" s="3" t="str">
        <x:v>Mất mạng khi gửi tin</x:v>
      </x:c>
      <x:c r="D111" s="3" t="str">
        <x:v>P1</x:v>
      </x:c>
      <x:c r="E111" s="6" t="str">
        <x:v>Not Run</x:v>
      </x:c>
      <x:c r="F111" s="6" t="str"/>
      <x:c r="G111" s="13"/>
      <x:c r="H111" s="6" t="str"/>
      <x:c r="I111" s="6" t="str"/>
      <x:c r="J111" s="6" t="str"/>
      <x:c r="K111" s="6" t="str"/>
      <x:c r="L111" s="6" t="str"/>
      <x:c r="M111" s="6" t="str">
        <x:v>Hoàng Đại Hợp</x:v>
      </x:c>
    </x:row>
    <x:row r="112" ht="44" customHeight="1">
      <x:c r="A112" s="3" t="str">
        <x:v>S2-TC059</x:v>
      </x:c>
      <x:c r="B112" s="3" t="str">
        <x:v>F02 Tin đăng</x:v>
      </x:c>
      <x:c r="C112" s="3" t="str">
        <x:v>Bấm gửi liên tiếp</x:v>
      </x:c>
      <x:c r="D112" s="3" t="str">
        <x:v>P1</x:v>
      </x:c>
      <x:c r="E112" s="6" t="str">
        <x:v>Not Run</x:v>
      </x:c>
      <x:c r="F112" s="6" t="str"/>
      <x:c r="G112" s="13"/>
      <x:c r="H112" s="6" t="str"/>
      <x:c r="I112" s="6" t="str"/>
      <x:c r="J112" s="6" t="str"/>
      <x:c r="K112" s="6" t="str"/>
      <x:c r="L112" s="6" t="str"/>
      <x:c r="M112" s="6" t="str">
        <x:v>Hoàng Đại Hợp</x:v>
      </x:c>
    </x:row>
    <x:row r="113" ht="44" customHeight="1">
      <x:c r="A113" s="3" t="str">
        <x:v>S2-TC060</x:v>
      </x:c>
      <x:c r="B113" s="3" t="str">
        <x:v>F02 Quyền tin</x:v>
      </x:c>
      <x:c r="C113" s="3" t="str">
        <x:v>B không được sửa tin A</x:v>
      </x:c>
      <x:c r="D113" s="3" t="str">
        <x:v>P1</x:v>
      </x:c>
      <x:c r="E113" s="6" t="str">
        <x:v>Not Run</x:v>
      </x:c>
      <x:c r="F113" s="6" t="str"/>
      <x:c r="G113" s="13"/>
      <x:c r="H113" s="6" t="str"/>
      <x:c r="I113" s="6" t="str"/>
      <x:c r="J113" s="6" t="str"/>
      <x:c r="K113" s="6" t="str"/>
      <x:c r="L113" s="6" t="str"/>
      <x:c r="M113" s="6" t="str">
        <x:v>Hoàng Đại Hợp</x:v>
      </x:c>
    </x:row>
    <x:row r="114" ht="44" customHeight="1">
      <x:c r="A114" s="3" t="str">
        <x:v>S2-TC061</x:v>
      </x:c>
      <x:c r="B114" s="3" t="str">
        <x:v>F02 Quyền tin</x:v>
      </x:c>
      <x:c r="C114" s="3" t="str">
        <x:v>B không được ẩn tin A</x:v>
      </x:c>
      <x:c r="D114" s="3" t="str">
        <x:v>P1</x:v>
      </x:c>
      <x:c r="E114" s="6" t="str">
        <x:v>Not Run</x:v>
      </x:c>
      <x:c r="F114" s="6" t="str"/>
      <x:c r="G114" s="13"/>
      <x:c r="H114" s="6" t="str"/>
      <x:c r="I114" s="6" t="str"/>
      <x:c r="J114" s="6" t="str"/>
      <x:c r="K114" s="6" t="str"/>
      <x:c r="L114" s="6" t="str"/>
      <x:c r="M114" s="6" t="str">
        <x:v>Hoàng Đại Hợp</x:v>
      </x:c>
    </x:row>
    <x:row r="115" ht="44" customHeight="1">
      <x:c r="A115" s="3" t="str">
        <x:v>S2-TC062</x:v>
      </x:c>
      <x:c r="B115" s="3" t="str">
        <x:v>F02 Quyền tin</x:v>
      </x:c>
      <x:c r="C115" s="3" t="str">
        <x:v>B không được xóa tin A</x:v>
      </x:c>
      <x:c r="D115" s="3" t="str">
        <x:v>P1</x:v>
      </x:c>
      <x:c r="E115" s="6" t="str">
        <x:v>Not Run</x:v>
      </x:c>
      <x:c r="F115" s="6" t="str"/>
      <x:c r="G115" s="13"/>
      <x:c r="H115" s="6" t="str"/>
      <x:c r="I115" s="6" t="str"/>
      <x:c r="J115" s="6" t="str"/>
      <x:c r="K115" s="6" t="str"/>
      <x:c r="L115" s="6" t="str"/>
      <x:c r="M115" s="6" t="str">
        <x:v>Hoàng Đại Hợp</x:v>
      </x:c>
    </x:row>
    <x:row r="116" ht="44" customHeight="1">
      <x:c r="A116" s="3" t="str">
        <x:v>S2-TC063</x:v>
      </x:c>
      <x:c r="B116" s="3" t="str">
        <x:v>F02 Quyền tin</x:v>
      </x:c>
      <x:c r="C116" s="3" t="str">
        <x:v>Khách không tạo tin</x:v>
      </x:c>
      <x:c r="D116" s="3" t="str">
        <x:v>P1</x:v>
      </x:c>
      <x:c r="E116" s="6" t="str">
        <x:v>Not Run</x:v>
      </x:c>
      <x:c r="F116" s="6" t="str"/>
      <x:c r="G116" s="13"/>
      <x:c r="H116" s="6" t="str"/>
      <x:c r="I116" s="6" t="str"/>
      <x:c r="J116" s="6" t="str"/>
      <x:c r="K116" s="6" t="str"/>
      <x:c r="L116" s="6" t="str"/>
      <x:c r="M116" s="6" t="str">
        <x:v>Hoàng Đại Hợp</x:v>
      </x:c>
    </x:row>
    <x:row r="117" ht="44" customHeight="1">
      <x:c r="A117" s="3" t="str">
        <x:v>S2-TC064</x:v>
      </x:c>
      <x:c r="B117" s="3" t="str">
        <x:v>F03 Tìm kiếm/lọc</x:v>
      </x:c>
      <x:c r="C117" s="3" t="str">
        <x:v>Tìm theo từ khóa</x:v>
      </x:c>
      <x:c r="D117" s="3" t="str">
        <x:v>P1</x:v>
      </x:c>
      <x:c r="E117" s="6" t="str">
        <x:v>Not Run</x:v>
      </x:c>
      <x:c r="F117" s="6" t="str"/>
      <x:c r="G117" s="13"/>
      <x:c r="H117" s="6" t="str"/>
      <x:c r="I117" s="6" t="str"/>
      <x:c r="J117" s="6" t="str"/>
      <x:c r="K117" s="6" t="str"/>
      <x:c r="L117" s="6" t="str"/>
      <x:c r="M117" s="6" t="str">
        <x:v>Hoàng Đại Hợp</x:v>
      </x:c>
    </x:row>
    <x:row r="118" ht="44" customHeight="1">
      <x:c r="A118" s="3" t="str">
        <x:v>S2-TC065</x:v>
      </x:c>
      <x:c r="B118" s="3" t="str">
        <x:v>F03 Tìm kiếm/lọc</x:v>
      </x:c>
      <x:c r="C118" s="3" t="str">
        <x:v>Từ khóa tiếng Việt</x:v>
      </x:c>
      <x:c r="D118" s="3" t="str">
        <x:v>P2</x:v>
      </x:c>
      <x:c r="E118" s="6" t="str">
        <x:v>Not Run</x:v>
      </x:c>
      <x:c r="F118" s="6" t="str"/>
      <x:c r="G118" s="13"/>
      <x:c r="H118" s="6" t="str"/>
      <x:c r="I118" s="6" t="str"/>
      <x:c r="J118" s="6" t="str"/>
      <x:c r="K118" s="6" t="str"/>
      <x:c r="L118" s="6" t="str"/>
      <x:c r="M118" s="6" t="str">
        <x:v>Hoàng Đại Hợp</x:v>
      </x:c>
    </x:row>
    <x:row r="119" ht="44" customHeight="1">
      <x:c r="A119" s="3" t="str">
        <x:v>S2-TC066</x:v>
      </x:c>
      <x:c r="B119" s="3" t="str">
        <x:v>F03 Tìm kiếm/lọc</x:v>
      </x:c>
      <x:c r="C119" s="3" t="str">
        <x:v>Tìm không có kết quả</x:v>
      </x:c>
      <x:c r="D119" s="3" t="str">
        <x:v>P2</x:v>
      </x:c>
      <x:c r="E119" s="6" t="str">
        <x:v>Not Run</x:v>
      </x:c>
      <x:c r="F119" s="6" t="str"/>
      <x:c r="G119" s="13"/>
      <x:c r="H119" s="6" t="str"/>
      <x:c r="I119" s="6" t="str"/>
      <x:c r="J119" s="6" t="str"/>
      <x:c r="K119" s="6" t="str"/>
      <x:c r="L119" s="6" t="str"/>
      <x:c r="M119" s="6" t="str">
        <x:v>Hoàng Đại Hợp</x:v>
      </x:c>
    </x:row>
    <x:row r="120" ht="44" customHeight="1">
      <x:c r="A120" s="3" t="str">
        <x:v>S2-TC067</x:v>
      </x:c>
      <x:c r="B120" s="3" t="str">
        <x:v>F03 Tìm kiếm/lọc</x:v>
      </x:c>
      <x:c r="C120" s="3" t="str">
        <x:v>Từ khóa rỗng</x:v>
      </x:c>
      <x:c r="D120" s="3" t="str">
        <x:v>P2</x:v>
      </x:c>
      <x:c r="E120" s="6" t="str">
        <x:v>Not Run</x:v>
      </x:c>
      <x:c r="F120" s="6" t="str"/>
      <x:c r="G120" s="13"/>
      <x:c r="H120" s="6" t="str"/>
      <x:c r="I120" s="6" t="str"/>
      <x:c r="J120" s="6" t="str"/>
      <x:c r="K120" s="6" t="str"/>
      <x:c r="L120" s="6" t="str"/>
      <x:c r="M120" s="6" t="str">
        <x:v>Hoàng Đại Hợp</x:v>
      </x:c>
    </x:row>
    <x:row r="121" ht="44" customHeight="1">
      <x:c r="A121" s="3" t="str">
        <x:v>S2-TC068</x:v>
      </x:c>
      <x:c r="B121" s="3" t="str">
        <x:v>F03 Tìm kiếm/lọc</x:v>
      </x:c>
      <x:c r="C121" s="3" t="str">
        <x:v>Lọc theo khu vực</x:v>
      </x:c>
      <x:c r="D121" s="3" t="str">
        <x:v>P1</x:v>
      </x:c>
      <x:c r="E121" s="6" t="str">
        <x:v>Not Run</x:v>
      </x:c>
      <x:c r="F121" s="6" t="str"/>
      <x:c r="G121" s="13"/>
      <x:c r="H121" s="6" t="str"/>
      <x:c r="I121" s="6" t="str"/>
      <x:c r="J121" s="6" t="str"/>
      <x:c r="K121" s="6" t="str"/>
      <x:c r="L121" s="6" t="str"/>
      <x:c r="M121" s="6" t="str">
        <x:v>Hoàng Đại Hợp</x:v>
      </x:c>
    </x:row>
    <x:row r="122" ht="44" customHeight="1">
      <x:c r="A122" s="3" t="str">
        <x:v>S2-TC069</x:v>
      </x:c>
      <x:c r="B122" s="3" t="str">
        <x:v>F03 Tìm kiếm/lọc</x:v>
      </x:c>
      <x:c r="C122" s="3" t="str">
        <x:v>Lọc theo loại căn hộ</x:v>
      </x:c>
      <x:c r="D122" s="3" t="str">
        <x:v>P2</x:v>
      </x:c>
      <x:c r="E122" s="6" t="str">
        <x:v>Not Run</x:v>
      </x:c>
      <x:c r="F122" s="6" t="str"/>
      <x:c r="G122" s="13"/>
      <x:c r="H122" s="6" t="str"/>
      <x:c r="I122" s="6" t="str"/>
      <x:c r="J122" s="6" t="str"/>
      <x:c r="K122" s="6" t="str"/>
      <x:c r="L122" s="6" t="str"/>
      <x:c r="M122" s="6" t="str">
        <x:v>Hoàng Đại Hợp</x:v>
      </x:c>
    </x:row>
    <x:row r="123" ht="44" customHeight="1">
      <x:c r="A123" s="3" t="str">
        <x:v>S2-TC070</x:v>
      </x:c>
      <x:c r="B123" s="3" t="str">
        <x:v>F03 Tìm kiếm/lọc</x:v>
      </x:c>
      <x:c r="C123" s="3" t="str">
        <x:v>Lọc giá có hai cận</x:v>
      </x:c>
      <x:c r="D123" s="3" t="str">
        <x:v>P1</x:v>
      </x:c>
      <x:c r="E123" s="6" t="str">
        <x:v>Not Run</x:v>
      </x:c>
      <x:c r="F123" s="6" t="str"/>
      <x:c r="G123" s="13"/>
      <x:c r="H123" s="6" t="str"/>
      <x:c r="I123" s="6" t="str"/>
      <x:c r="J123" s="6" t="str"/>
      <x:c r="K123" s="6" t="str"/>
      <x:c r="L123" s="6" t="str"/>
      <x:c r="M123" s="6" t="str">
        <x:v>Hoàng Đại Hợp</x:v>
      </x:c>
    </x:row>
    <x:row r="124" ht="44" customHeight="1">
      <x:c r="A124" s="3" t="str">
        <x:v>S2-TC071</x:v>
      </x:c>
      <x:c r="B124" s="3" t="str">
        <x:v>F03 Tìm kiếm/lọc</x:v>
      </x:c>
      <x:c r="C124" s="3" t="str">
        <x:v>Biên giá dưới cận</x:v>
      </x:c>
      <x:c r="D124" s="3" t="str">
        <x:v>P2</x:v>
      </x:c>
      <x:c r="E124" s="6" t="str">
        <x:v>Not Run</x:v>
      </x:c>
      <x:c r="F124" s="6" t="str"/>
      <x:c r="G124" s="13"/>
      <x:c r="H124" s="6" t="str"/>
      <x:c r="I124" s="6" t="str"/>
      <x:c r="J124" s="6" t="str"/>
      <x:c r="K124" s="6" t="str"/>
      <x:c r="L124" s="6" t="str"/>
      <x:c r="M124" s="6" t="str">
        <x:v>Hoàng Đại Hợp</x:v>
      </x:c>
    </x:row>
    <x:row r="125" ht="44" customHeight="1">
      <x:c r="A125" s="3" t="str">
        <x:v>S2-TC072</x:v>
      </x:c>
      <x:c r="B125" s="3" t="str">
        <x:v>F03 Tìm kiếm/lọc</x:v>
      </x:c>
      <x:c r="C125" s="3" t="str">
        <x:v>Biên giá đúng cận dưới</x:v>
      </x:c>
      <x:c r="D125" s="3" t="str">
        <x:v>P2</x:v>
      </x:c>
      <x:c r="E125" s="6" t="str">
        <x:v>Not Run</x:v>
      </x:c>
      <x:c r="F125" s="6" t="str"/>
      <x:c r="G125" s="13"/>
      <x:c r="H125" s="6" t="str"/>
      <x:c r="I125" s="6" t="str"/>
      <x:c r="J125" s="6" t="str"/>
      <x:c r="K125" s="6" t="str"/>
      <x:c r="L125" s="6" t="str"/>
      <x:c r="M125" s="6" t="str">
        <x:v>Hoàng Đại Hợp</x:v>
      </x:c>
    </x:row>
    <x:row r="126" ht="44" customHeight="1">
      <x:c r="A126" s="3" t="str">
        <x:v>S2-TC073</x:v>
      </x:c>
      <x:c r="B126" s="3" t="str">
        <x:v>F03 Tìm kiếm/lọc</x:v>
      </x:c>
      <x:c r="C126" s="3" t="str">
        <x:v>Biên giá trên cận dưới</x:v>
      </x:c>
      <x:c r="D126" s="3" t="str">
        <x:v>P2</x:v>
      </x:c>
      <x:c r="E126" s="6" t="str">
        <x:v>Not Run</x:v>
      </x:c>
      <x:c r="F126" s="6" t="str"/>
      <x:c r="G126" s="13"/>
      <x:c r="H126" s="6" t="str"/>
      <x:c r="I126" s="6" t="str"/>
      <x:c r="J126" s="6" t="str"/>
      <x:c r="K126" s="6" t="str"/>
      <x:c r="L126" s="6" t="str"/>
      <x:c r="M126" s="6" t="str">
        <x:v>Hoàng Đại Hợp</x:v>
      </x:c>
    </x:row>
    <x:row r="127" ht="44" customHeight="1">
      <x:c r="A127" s="3" t="str">
        <x:v>S2-TC074</x:v>
      </x:c>
      <x:c r="B127" s="3" t="str">
        <x:v>F03 Tìm kiếm/lọc</x:v>
      </x:c>
      <x:c r="C127" s="3" t="str">
        <x:v>Biên giá dưới cận trên</x:v>
      </x:c>
      <x:c r="D127" s="3" t="str">
        <x:v>P2</x:v>
      </x:c>
      <x:c r="E127" s="6" t="str">
        <x:v>Not Run</x:v>
      </x:c>
      <x:c r="F127" s="6" t="str"/>
      <x:c r="G127" s="13"/>
      <x:c r="H127" s="6" t="str"/>
      <x:c r="I127" s="6" t="str"/>
      <x:c r="J127" s="6" t="str"/>
      <x:c r="K127" s="6" t="str"/>
      <x:c r="L127" s="6" t="str"/>
      <x:c r="M127" s="6" t="str">
        <x:v>Hoàng Đại Hợp</x:v>
      </x:c>
    </x:row>
    <x:row r="128" ht="44" customHeight="1">
      <x:c r="A128" s="3" t="str">
        <x:v>S2-TC075</x:v>
      </x:c>
      <x:c r="B128" s="3" t="str">
        <x:v>F03 Tìm kiếm/lọc</x:v>
      </x:c>
      <x:c r="C128" s="3" t="str">
        <x:v>Biên giá đúng cận trên</x:v>
      </x:c>
      <x:c r="D128" s="3" t="str">
        <x:v>P2</x:v>
      </x:c>
      <x:c r="E128" s="6" t="str">
        <x:v>Not Run</x:v>
      </x:c>
      <x:c r="F128" s="6" t="str"/>
      <x:c r="G128" s="13"/>
      <x:c r="H128" s="6" t="str"/>
      <x:c r="I128" s="6" t="str"/>
      <x:c r="J128" s="6" t="str"/>
      <x:c r="K128" s="6" t="str"/>
      <x:c r="L128" s="6" t="str"/>
      <x:c r="M128" s="6" t="str">
        <x:v>Hoàng Đại Hợp</x:v>
      </x:c>
    </x:row>
    <x:row r="129" ht="44" customHeight="1">
      <x:c r="A129" s="3" t="str">
        <x:v>S2-TC076</x:v>
      </x:c>
      <x:c r="B129" s="3" t="str">
        <x:v>F03 Tìm kiếm/lọc</x:v>
      </x:c>
      <x:c r="C129" s="3" t="str">
        <x:v>Biên giá trên cận</x:v>
      </x:c>
      <x:c r="D129" s="3" t="str">
        <x:v>P2</x:v>
      </x:c>
      <x:c r="E129" s="6" t="str">
        <x:v>Not Run</x:v>
      </x:c>
      <x:c r="F129" s="6" t="str"/>
      <x:c r="G129" s="13"/>
      <x:c r="H129" s="6" t="str"/>
      <x:c r="I129" s="6" t="str"/>
      <x:c r="J129" s="6" t="str"/>
      <x:c r="K129" s="6" t="str"/>
      <x:c r="L129" s="6" t="str"/>
      <x:c r="M129" s="6" t="str">
        <x:v>Hoàng Đại Hợp</x:v>
      </x:c>
    </x:row>
    <x:row r="130" ht="44" customHeight="1">
      <x:c r="A130" s="3" t="str">
        <x:v>S2-TC077</x:v>
      </x:c>
      <x:c r="B130" s="3" t="str">
        <x:v>F03 Tìm kiếm/lọc</x:v>
      </x:c>
      <x:c r="C130" s="3" t="str">
        <x:v>Chỉ cận giá dưới</x:v>
      </x:c>
      <x:c r="D130" s="3" t="str">
        <x:v>P2</x:v>
      </x:c>
      <x:c r="E130" s="6" t="str">
        <x:v>Not Run</x:v>
      </x:c>
      <x:c r="F130" s="6" t="str"/>
      <x:c r="G130" s="13"/>
      <x:c r="H130" s="6" t="str"/>
      <x:c r="I130" s="6" t="str"/>
      <x:c r="J130" s="6" t="str"/>
      <x:c r="K130" s="6" t="str"/>
      <x:c r="L130" s="6" t="str"/>
      <x:c r="M130" s="6" t="str">
        <x:v>Hoàng Đại Hợp</x:v>
      </x:c>
    </x:row>
    <x:row r="131" ht="44" customHeight="1">
      <x:c r="A131" s="3" t="str">
        <x:v>S2-TC078</x:v>
      </x:c>
      <x:c r="B131" s="3" t="str">
        <x:v>F03 Tìm kiếm/lọc</x:v>
      </x:c>
      <x:c r="C131" s="3" t="str">
        <x:v>Chỉ cận giá trên</x:v>
      </x:c>
      <x:c r="D131" s="3" t="str">
        <x:v>P2</x:v>
      </x:c>
      <x:c r="E131" s="6" t="str">
        <x:v>Not Run</x:v>
      </x:c>
      <x:c r="F131" s="6" t="str"/>
      <x:c r="G131" s="13"/>
      <x:c r="H131" s="6" t="str"/>
      <x:c r="I131" s="6" t="str"/>
      <x:c r="J131" s="6" t="str"/>
      <x:c r="K131" s="6" t="str"/>
      <x:c r="L131" s="6" t="str"/>
      <x:c r="M131" s="6" t="str">
        <x:v>Hoàng Đại Hợp</x:v>
      </x:c>
    </x:row>
    <x:row r="132" ht="44" customHeight="1">
      <x:c r="A132" s="3" t="str">
        <x:v>S2-TC079</x:v>
      </x:c>
      <x:c r="B132" s="3" t="str">
        <x:v>F03 Tìm kiếm/lọc</x:v>
      </x:c>
      <x:c r="C132" s="3" t="str">
        <x:v>Khoảng giá đảo</x:v>
      </x:c>
      <x:c r="D132" s="3" t="str">
        <x:v>P2</x:v>
      </x:c>
      <x:c r="E132" s="6" t="str">
        <x:v>Not Run</x:v>
      </x:c>
      <x:c r="F132" s="6" t="str"/>
      <x:c r="G132" s="13"/>
      <x:c r="H132" s="6" t="str"/>
      <x:c r="I132" s="6" t="str"/>
      <x:c r="J132" s="6" t="str"/>
      <x:c r="K132" s="6" t="str"/>
      <x:c r="L132" s="6" t="str"/>
      <x:c r="M132" s="6" t="str">
        <x:v>Hoàng Đại Hợp</x:v>
      </x:c>
    </x:row>
    <x:row r="133" ht="44" customHeight="1">
      <x:c r="A133" s="3" t="str">
        <x:v>S2-TC080</x:v>
      </x:c>
      <x:c r="B133" s="3" t="str">
        <x:v>F03 Tìm kiếm/lọc</x:v>
      </x:c>
      <x:c r="C133" s="3" t="str">
        <x:v>Khoảng diện tích</x:v>
      </x:c>
      <x:c r="D133" s="3" t="str">
        <x:v>P1</x:v>
      </x:c>
      <x:c r="E133" s="6" t="str">
        <x:v>Not Run</x:v>
      </x:c>
      <x:c r="F133" s="6" t="str"/>
      <x:c r="G133" s="13"/>
      <x:c r="H133" s="6" t="str"/>
      <x:c r="I133" s="6" t="str"/>
      <x:c r="J133" s="6" t="str"/>
      <x:c r="K133" s="6" t="str"/>
      <x:c r="L133" s="6" t="str"/>
      <x:c r="M133" s="6" t="str">
        <x:v>Hoàng Đại Hợp</x:v>
      </x:c>
    </x:row>
    <x:row r="134" ht="44" customHeight="1">
      <x:c r="A134" s="3" t="str">
        <x:v>S2-TC081</x:v>
      </x:c>
      <x:c r="B134" s="3" t="str">
        <x:v>F03 Tìm kiếm/lọc</x:v>
      </x:c>
      <x:c r="C134" s="3" t="str">
        <x:v>Biên diện tích 29.9 m²</x:v>
      </x:c>
      <x:c r="D134" s="3" t="str">
        <x:v>P2</x:v>
      </x:c>
      <x:c r="E134" s="6" t="str">
        <x:v>Not Run</x:v>
      </x:c>
      <x:c r="F134" s="6" t="str"/>
      <x:c r="G134" s="13"/>
      <x:c r="H134" s="6" t="str"/>
      <x:c r="I134" s="6" t="str"/>
      <x:c r="J134" s="6" t="str"/>
      <x:c r="K134" s="6" t="str"/>
      <x:c r="L134" s="6" t="str"/>
      <x:c r="M134" s="6" t="str">
        <x:v>Hoàng Đại Hợp</x:v>
      </x:c>
    </x:row>
    <x:row r="135" ht="44" customHeight="1">
      <x:c r="A135" s="3" t="str">
        <x:v>S2-TC082</x:v>
      </x:c>
      <x:c r="B135" s="3" t="str">
        <x:v>F03 Tìm kiếm/lọc</x:v>
      </x:c>
      <x:c r="C135" s="3" t="str">
        <x:v>Biên diện tích 30 m²</x:v>
      </x:c>
      <x:c r="D135" s="3" t="str">
        <x:v>P2</x:v>
      </x:c>
      <x:c r="E135" s="6" t="str">
        <x:v>Not Run</x:v>
      </x:c>
      <x:c r="F135" s="6" t="str"/>
      <x:c r="G135" s="13"/>
      <x:c r="H135" s="6" t="str"/>
      <x:c r="I135" s="6" t="str"/>
      <x:c r="J135" s="6" t="str"/>
      <x:c r="K135" s="6" t="str"/>
      <x:c r="L135" s="6" t="str"/>
      <x:c r="M135" s="6" t="str">
        <x:v>Hoàng Đại Hợp</x:v>
      </x:c>
    </x:row>
    <x:row r="136" ht="44" customHeight="1">
      <x:c r="A136" s="3" t="str">
        <x:v>S2-TC083</x:v>
      </x:c>
      <x:c r="B136" s="3" t="str">
        <x:v>F03 Tìm kiếm/lọc</x:v>
      </x:c>
      <x:c r="C136" s="3" t="str">
        <x:v>Biên diện tích 50 m²</x:v>
      </x:c>
      <x:c r="D136" s="3" t="str">
        <x:v>P2</x:v>
      </x:c>
      <x:c r="E136" s="6" t="str">
        <x:v>Not Run</x:v>
      </x:c>
      <x:c r="F136" s="6" t="str"/>
      <x:c r="G136" s="13"/>
      <x:c r="H136" s="6" t="str"/>
      <x:c r="I136" s="6" t="str"/>
      <x:c r="J136" s="6" t="str"/>
      <x:c r="K136" s="6" t="str"/>
      <x:c r="L136" s="6" t="str"/>
      <x:c r="M136" s="6" t="str">
        <x:v>Hoàng Đại Hợp</x:v>
      </x:c>
    </x:row>
    <x:row r="137" ht="44" customHeight="1">
      <x:c r="A137" s="3" t="str">
        <x:v>S2-TC084</x:v>
      </x:c>
      <x:c r="B137" s="3" t="str">
        <x:v>F03 Tìm kiếm/lọc</x:v>
      </x:c>
      <x:c r="C137" s="3" t="str">
        <x:v>Biên diện tích 50.1 m²</x:v>
      </x:c>
      <x:c r="D137" s="3" t="str">
        <x:v>P2</x:v>
      </x:c>
      <x:c r="E137" s="6" t="str">
        <x:v>Not Run</x:v>
      </x:c>
      <x:c r="F137" s="6" t="str"/>
      <x:c r="G137" s="13"/>
      <x:c r="H137" s="6" t="str"/>
      <x:c r="I137" s="6" t="str"/>
      <x:c r="J137" s="6" t="str"/>
      <x:c r="K137" s="6" t="str"/>
      <x:c r="L137" s="6" t="str"/>
      <x:c r="M137" s="6" t="str">
        <x:v>Hoàng Đại Hợp</x:v>
      </x:c>
    </x:row>
    <x:row r="138" ht="44" customHeight="1">
      <x:c r="A138" s="3" t="str">
        <x:v>S2-TC085</x:v>
      </x:c>
      <x:c r="B138" s="3" t="str">
        <x:v>F03 Tìm kiếm/lọc</x:v>
      </x:c>
      <x:c r="C138" s="3" t="str">
        <x:v>Khoảng diện tích đảo</x:v>
      </x:c>
      <x:c r="D138" s="3" t="str">
        <x:v>P2</x:v>
      </x:c>
      <x:c r="E138" s="6" t="str">
        <x:v>Not Run</x:v>
      </x:c>
      <x:c r="F138" s="6" t="str"/>
      <x:c r="G138" s="13"/>
      <x:c r="H138" s="6" t="str"/>
      <x:c r="I138" s="6" t="str"/>
      <x:c r="J138" s="6" t="str"/>
      <x:c r="K138" s="6" t="str"/>
      <x:c r="L138" s="6" t="str"/>
      <x:c r="M138" s="6" t="str">
        <x:v>Hoàng Đại Hợp</x:v>
      </x:c>
    </x:row>
    <x:row r="139" ht="44" customHeight="1">
      <x:c r="A139" s="3" t="str">
        <x:v>S2-TC086</x:v>
      </x:c>
      <x:c r="B139" s="3" t="str">
        <x:v>F03 Tìm kiếm/lọc</x:v>
      </x:c>
      <x:c r="C139" s="3" t="str">
        <x:v>Lọc nhiều điều kiện</x:v>
      </x:c>
      <x:c r="D139" s="3" t="str">
        <x:v>P1</x:v>
      </x:c>
      <x:c r="E139" s="6" t="str">
        <x:v>Not Run</x:v>
      </x:c>
      <x:c r="F139" s="6" t="str"/>
      <x:c r="G139" s="13"/>
      <x:c r="H139" s="6" t="str"/>
      <x:c r="I139" s="6" t="str"/>
      <x:c r="J139" s="6" t="str"/>
      <x:c r="K139" s="6" t="str"/>
      <x:c r="L139" s="6" t="str"/>
      <x:c r="M139" s="6" t="str">
        <x:v>Hoàng Đại Hợp</x:v>
      </x:c>
    </x:row>
    <x:row r="140" ht="44" customHeight="1">
      <x:c r="A140" s="3" t="str">
        <x:v>S2-TC087</x:v>
      </x:c>
      <x:c r="B140" s="3" t="str">
        <x:v>F03 Tìm kiếm/lọc</x:v>
      </x:c>
      <x:c r="C140" s="3" t="str">
        <x:v>Xóa bộ lọc</x:v>
      </x:c>
      <x:c r="D140" s="3" t="str">
        <x:v>P2</x:v>
      </x:c>
      <x:c r="E140" s="6" t="str">
        <x:v>Not Run</x:v>
      </x:c>
      <x:c r="F140" s="6" t="str"/>
      <x:c r="G140" s="13"/>
      <x:c r="H140" s="6" t="str"/>
      <x:c r="I140" s="6" t="str"/>
      <x:c r="J140" s="6" t="str"/>
      <x:c r="K140" s="6" t="str"/>
      <x:c r="L140" s="6" t="str"/>
      <x:c r="M140" s="6" t="str">
        <x:v>Hoàng Đại Hợp</x:v>
      </x:c>
    </x:row>
    <x:row r="141" ht="44" customHeight="1">
      <x:c r="A141" s="3" t="str">
        <x:v>S2-TC088</x:v>
      </x:c>
      <x:c r="B141" s="3" t="str">
        <x:v>F03 Tìm kiếm/lọc</x:v>
      </x:c>
      <x:c r="C141" s="3" t="str">
        <x:v>Không tìm được tin đã ẩn</x:v>
      </x:c>
      <x:c r="D141" s="3" t="str">
        <x:v>P1</x:v>
      </x:c>
      <x:c r="E141" s="6" t="str">
        <x:v>Not Run</x:v>
      </x:c>
      <x:c r="F141" s="6" t="str"/>
      <x:c r="G141" s="13"/>
      <x:c r="H141" s="6" t="str"/>
      <x:c r="I141" s="6" t="str"/>
      <x:c r="J141" s="6" t="str"/>
      <x:c r="K141" s="6" t="str"/>
      <x:c r="L141" s="6" t="str"/>
      <x:c r="M141" s="6" t="str">
        <x:v>Hoàng Đại Hợp</x:v>
      </x:c>
    </x:row>
    <x:row r="142" ht="44" customHeight="1">
      <x:c r="A142" s="3" t="str">
        <x:v>S2-TC089</x:v>
      </x:c>
      <x:c r="B142" s="3" t="str">
        <x:v>F04 AI/thẻ</x:v>
      </x:c>
      <x:c r="C142" s="3" t="str">
        <x:v>AI phân tích mô tả rõ</x:v>
      </x:c>
      <x:c r="D142" s="3" t="str">
        <x:v>P1</x:v>
      </x:c>
      <x:c r="E142" s="6" t="str">
        <x:v>Not Run</x:v>
      </x:c>
      <x:c r="F142" s="6" t="str"/>
      <x:c r="G142" s="13"/>
      <x:c r="H142" s="6" t="str"/>
      <x:c r="I142" s="6" t="str"/>
      <x:c r="J142" s="6" t="str"/>
      <x:c r="K142" s="6" t="str"/>
      <x:c r="L142" s="6" t="str"/>
      <x:c r="M142" s="6" t="str">
        <x:v>Hoàng Đại Hợp</x:v>
      </x:c>
    </x:row>
    <x:row r="143" ht="44" customHeight="1">
      <x:c r="A143" s="3" t="str">
        <x:v>S2-TC090</x:v>
      </x:c>
      <x:c r="B143" s="3" t="str">
        <x:v>F04 AI/thẻ</x:v>
      </x:c>
      <x:c r="C143" s="3" t="str">
        <x:v>AI hiểu phủ định</x:v>
      </x:c>
      <x:c r="D143" s="3" t="str">
        <x:v>P1</x:v>
      </x:c>
      <x:c r="E143" s="6" t="str">
        <x:v>Not Run</x:v>
      </x:c>
      <x:c r="F143" s="6" t="str"/>
      <x:c r="G143" s="13"/>
      <x:c r="H143" s="6" t="str"/>
      <x:c r="I143" s="6" t="str"/>
      <x:c r="J143" s="6" t="str"/>
      <x:c r="K143" s="6" t="str"/>
      <x:c r="L143" s="6" t="str"/>
      <x:c r="M143" s="6" t="str">
        <x:v>Hoàng Đại Hợp</x:v>
      </x:c>
    </x:row>
    <x:row r="144" ht="44" customHeight="1">
      <x:c r="A144" s="3" t="str">
        <x:v>S2-TC091</x:v>
      </x:c>
      <x:c r="B144" s="3" t="str">
        <x:v>F04 AI/thẻ</x:v>
      </x:c>
      <x:c r="C144" s="3" t="str">
        <x:v>AI không suy diễn khi thiếu thông tin</x:v>
      </x:c>
      <x:c r="D144" s="3" t="str">
        <x:v>P1</x:v>
      </x:c>
      <x:c r="E144" s="6" t="str">
        <x:v>Not Run</x:v>
      </x:c>
      <x:c r="F144" s="6" t="str"/>
      <x:c r="G144" s="13"/>
      <x:c r="H144" s="6" t="str"/>
      <x:c r="I144" s="6" t="str"/>
      <x:c r="J144" s="6" t="str"/>
      <x:c r="K144" s="6" t="str"/>
      <x:c r="L144" s="6" t="str"/>
      <x:c r="M144" s="6" t="str">
        <x:v>Hoàng Đại Hợp</x:v>
      </x:c>
    </x:row>
    <x:row r="145" ht="44" customHeight="1">
      <x:c r="A145" s="3" t="str">
        <x:v>S2-TC092</x:v>
      </x:c>
      <x:c r="B145" s="3" t="str">
        <x:v>F04 AI/thẻ</x:v>
      </x:c>
      <x:c r="C145" s="3" t="str">
        <x:v>AI xử lý mâu thuẫn</x:v>
      </x:c>
      <x:c r="D145" s="3" t="str">
        <x:v>P1</x:v>
      </x:c>
      <x:c r="E145" s="6" t="str">
        <x:v>Not Run</x:v>
      </x:c>
      <x:c r="F145" s="6" t="str"/>
      <x:c r="G145" s="13"/>
      <x:c r="H145" s="6" t="str"/>
      <x:c r="I145" s="6" t="str"/>
      <x:c r="J145" s="6" t="str"/>
      <x:c r="K145" s="6" t="str"/>
      <x:c r="L145" s="6" t="str"/>
      <x:c r="M145" s="6" t="str">
        <x:v>Hoàng Đại Hợp</x:v>
      </x:c>
    </x:row>
    <x:row r="146" ht="44" customHeight="1">
      <x:c r="A146" s="3" t="str">
        <x:v>S2-TC093</x:v>
      </x:c>
      <x:c r="B146" s="3" t="str">
        <x:v>F04 AI/thẻ</x:v>
      </x:c>
      <x:c r="C146" s="3" t="str">
        <x:v>Thẻ không trùng</x:v>
      </x:c>
      <x:c r="D146" s="3" t="str">
        <x:v>P2</x:v>
      </x:c>
      <x:c r="E146" s="6" t="str">
        <x:v>Not Run</x:v>
      </x:c>
      <x:c r="F146" s="6" t="str"/>
      <x:c r="G146" s="13"/>
      <x:c r="H146" s="6" t="str"/>
      <x:c r="I146" s="6" t="str"/>
      <x:c r="J146" s="6" t="str"/>
      <x:c r="K146" s="6" t="str"/>
      <x:c r="L146" s="6" t="str"/>
      <x:c r="M146" s="6" t="str">
        <x:v>Hoàng Đại Hợp</x:v>
      </x:c>
    </x:row>
    <x:row r="147" ht="57" customHeight="1">
      <x:c r="A147" s="3" t="str">
        <x:v>S2-TC094</x:v>
      </x:c>
      <x:c r="B147" s="3" t="str">
        <x:v>F04 AI/thẻ</x:v>
      </x:c>
      <x:c r="C147" s="3" t="str">
        <x:v>Giới hạn số thẻ</x:v>
      </x:c>
      <x:c r="D147" s="3" t="str">
        <x:v>P2</x:v>
      </x:c>
      <x:c r="E147" s="6" t="str">
        <x:v>Not Run</x:v>
      </x:c>
      <x:c r="F147" s="6" t="str"/>
      <x:c r="G147" s="13"/>
      <x:c r="H147" s="6" t="str"/>
      <x:c r="I147" s="6" t="str"/>
      <x:c r="J147" s="6" t="str"/>
      <x:c r="K147" s="6" t="str"/>
      <x:c r="L147" s="6" t="str">
        <x:v>Mức 10 trong Test Plan là đề xuất, phải xác nhận trước chạy.</x:v>
      </x:c>
      <x:c r="M147" s="6" t="str">
        <x:v>Hoàng Đại Hợp</x:v>
      </x:c>
    </x:row>
    <x:row r="148" ht="44" customHeight="1">
      <x:c r="A148" s="3" t="str">
        <x:v>S2-TC095</x:v>
      </x:c>
      <x:c r="B148" s="3" t="str">
        <x:v>F04 AI/thẻ</x:v>
      </x:c>
      <x:c r="C148" s="3" t="str">
        <x:v>Loại thẻ rỗng</x:v>
      </x:c>
      <x:c r="D148" s="3" t="str">
        <x:v>P2</x:v>
      </x:c>
      <x:c r="E148" s="6" t="str">
        <x:v>Not Run</x:v>
      </x:c>
      <x:c r="F148" s="6" t="str"/>
      <x:c r="G148" s="13"/>
      <x:c r="H148" s="6" t="str"/>
      <x:c r="I148" s="6" t="str"/>
      <x:c r="J148" s="6" t="str"/>
      <x:c r="K148" s="6" t="str"/>
      <x:c r="L148" s="6" t="str"/>
      <x:c r="M148" s="6" t="str">
        <x:v>Hoàng Đại Hợp</x:v>
      </x:c>
    </x:row>
    <x:row r="149" ht="44" customHeight="1">
      <x:c r="A149" s="3" t="str">
        <x:v>S2-TC096</x:v>
      </x:c>
      <x:c r="B149" s="3" t="str">
        <x:v>F04 AI/thẻ</x:v>
      </x:c>
      <x:c r="C149" s="3" t="str">
        <x:v>AI lỗi 401 xác thực</x:v>
      </x:c>
      <x:c r="D149" s="3" t="str">
        <x:v>P1</x:v>
      </x:c>
      <x:c r="E149" s="6" t="str">
        <x:v>Not Run</x:v>
      </x:c>
      <x:c r="F149" s="6" t="str"/>
      <x:c r="G149" s="13"/>
      <x:c r="H149" s="6" t="str"/>
      <x:c r="I149" s="6" t="str"/>
      <x:c r="J149" s="6" t="str"/>
      <x:c r="K149" s="6" t="str"/>
      <x:c r="L149" s="6" t="str"/>
      <x:c r="M149" s="6" t="str">
        <x:v>Hoàng Đại Hợp</x:v>
      </x:c>
    </x:row>
    <x:row r="150" ht="44" customHeight="1">
      <x:c r="A150" s="3" t="str">
        <x:v>S2-TC097</x:v>
      </x:c>
      <x:c r="B150" s="3" t="str">
        <x:v>F04 AI/thẻ</x:v>
      </x:c>
      <x:c r="C150" s="3" t="str">
        <x:v>AI lỗi 429 hết quota</x:v>
      </x:c>
      <x:c r="D150" s="3" t="str">
        <x:v>P1</x:v>
      </x:c>
      <x:c r="E150" s="6" t="str">
        <x:v>Not Run</x:v>
      </x:c>
      <x:c r="F150" s="6" t="str"/>
      <x:c r="G150" s="13"/>
      <x:c r="H150" s="6" t="str"/>
      <x:c r="I150" s="6" t="str"/>
      <x:c r="J150" s="6" t="str"/>
      <x:c r="K150" s="6" t="str"/>
      <x:c r="L150" s="6" t="str"/>
      <x:c r="M150" s="6" t="str">
        <x:v>Hoàng Đại Hợp</x:v>
      </x:c>
    </x:row>
    <x:row r="151" ht="44" customHeight="1">
      <x:c r="A151" s="3" t="str">
        <x:v>S2-TC098</x:v>
      </x:c>
      <x:c r="B151" s="3" t="str">
        <x:v>F04 AI/thẻ</x:v>
      </x:c>
      <x:c r="C151" s="3" t="str">
        <x:v>AI lỗi timeout</x:v>
      </x:c>
      <x:c r="D151" s="3" t="str">
        <x:v>P1</x:v>
      </x:c>
      <x:c r="E151" s="6" t="str">
        <x:v>Not Run</x:v>
      </x:c>
      <x:c r="F151" s="6" t="str"/>
      <x:c r="G151" s="13"/>
      <x:c r="H151" s="6" t="str"/>
      <x:c r="I151" s="6" t="str"/>
      <x:c r="J151" s="6" t="str"/>
      <x:c r="K151" s="6" t="str"/>
      <x:c r="L151" s="6" t="str"/>
      <x:c r="M151" s="6" t="str">
        <x:v>Hoàng Đại Hợp</x:v>
      </x:c>
    </x:row>
    <x:row r="152" ht="44" customHeight="1">
      <x:c r="A152" s="3" t="str">
        <x:v>S2-TC099</x:v>
      </x:c>
      <x:c r="B152" s="3" t="str">
        <x:v>F04 AI/thẻ</x:v>
      </x:c>
      <x:c r="C152" s="3" t="str">
        <x:v>AI lỗi JSON sai cấu trúc</x:v>
      </x:c>
      <x:c r="D152" s="3" t="str">
        <x:v>P1</x:v>
      </x:c>
      <x:c r="E152" s="6" t="str">
        <x:v>Not Run</x:v>
      </x:c>
      <x:c r="F152" s="6" t="str"/>
      <x:c r="G152" s="13"/>
      <x:c r="H152" s="6" t="str"/>
      <x:c r="I152" s="6" t="str"/>
      <x:c r="J152" s="6" t="str"/>
      <x:c r="K152" s="6" t="str"/>
      <x:c r="L152" s="6" t="str"/>
      <x:c r="M152" s="6" t="str">
        <x:v>Hoàng Đại Hợp</x:v>
      </x:c>
    </x:row>
    <x:row r="153" ht="44" customHeight="1">
      <x:c r="A153" s="3" t="str">
        <x:v>S2-TC100</x:v>
      </x:c>
      <x:c r="B153" s="3" t="str">
        <x:v>F04 AI/thẻ</x:v>
      </x:c>
      <x:c r="C153" s="3" t="str">
        <x:v>AI phục hồi sau lỗi</x:v>
      </x:c>
      <x:c r="D153" s="3" t="str">
        <x:v>P1</x:v>
      </x:c>
      <x:c r="E153" s="6" t="str">
        <x:v>Not Run</x:v>
      </x:c>
      <x:c r="F153" s="6" t="str"/>
      <x:c r="G153" s="13"/>
      <x:c r="H153" s="6" t="str"/>
      <x:c r="I153" s="6" t="str"/>
      <x:c r="J153" s="6" t="str"/>
      <x:c r="K153" s="6" t="str"/>
      <x:c r="L153" s="6" t="str"/>
      <x:c r="M153" s="6" t="str">
        <x:v>Hoàng Đại Hợp</x:v>
      </x:c>
    </x:row>
    <x:row r="154" ht="44" customHeight="1">
      <x:c r="A154" s="3" t="str">
        <x:v>S2-TC101</x:v>
      </x:c>
      <x:c r="B154" s="3" t="str">
        <x:v>F04 Lưu/tìm thẻ</x:v>
      </x:c>
      <x:c r="C154" s="3" t="str">
        <x:v>Lưu quan hệ tin và thẻ</x:v>
      </x:c>
      <x:c r="D154" s="3" t="str">
        <x:v>P1</x:v>
      </x:c>
      <x:c r="E154" s="6" t="str">
        <x:v>Not Run</x:v>
      </x:c>
      <x:c r="F154" s="6" t="str"/>
      <x:c r="G154" s="13"/>
      <x:c r="H154" s="6" t="str"/>
      <x:c r="I154" s="6" t="str"/>
      <x:c r="J154" s="6" t="str"/>
      <x:c r="K154" s="6" t="str"/>
      <x:c r="L154" s="6" t="str"/>
      <x:c r="M154" s="6" t="str">
        <x:v>Hoàng Đại Hợp</x:v>
      </x:c>
    </x:row>
    <x:row r="155" ht="44" customHeight="1">
      <x:c r="A155" s="3" t="str">
        <x:v>S2-TC102</x:v>
      </x:c>
      <x:c r="B155" s="3" t="str">
        <x:v>F04 Lưu/tìm thẻ</x:v>
      </x:c>
      <x:c r="C155" s="3" t="str">
        <x:v>API trả thẻ</x:v>
      </x:c>
      <x:c r="D155" s="3" t="str">
        <x:v>P1</x:v>
      </x:c>
      <x:c r="E155" s="6" t="str">
        <x:v>Not Run</x:v>
      </x:c>
      <x:c r="F155" s="6" t="str"/>
      <x:c r="G155" s="13"/>
      <x:c r="H155" s="6" t="str"/>
      <x:c r="I155" s="6" t="str"/>
      <x:c r="J155" s="6" t="str"/>
      <x:c r="K155" s="6" t="str"/>
      <x:c r="L155" s="6" t="str"/>
      <x:c r="M155" s="6" t="str">
        <x:v>Hoàng Đại Hợp</x:v>
      </x:c>
    </x:row>
    <x:row r="156" ht="44" customHeight="1">
      <x:c r="A156" s="3" t="str">
        <x:v>S2-TC103</x:v>
      </x:c>
      <x:c r="B156" s="3" t="str">
        <x:v>F04 Lưu/tìm thẻ</x:v>
      </x:c>
      <x:c r="C156" s="3" t="str">
        <x:v>Thẻ hiển thị sau Refresh</x:v>
      </x:c>
      <x:c r="D156" s="3" t="str">
        <x:v>P1</x:v>
      </x:c>
      <x:c r="E156" s="6" t="str">
        <x:v>Not Run</x:v>
      </x:c>
      <x:c r="F156" s="6" t="str"/>
      <x:c r="G156" s="13"/>
      <x:c r="H156" s="6" t="str"/>
      <x:c r="I156" s="6" t="str"/>
      <x:c r="J156" s="6" t="str"/>
      <x:c r="K156" s="6" t="str"/>
      <x:c r="L156" s="6" t="str"/>
      <x:c r="M156" s="6" t="str">
        <x:v>Hoàng Đại Hợp</x:v>
      </x:c>
    </x:row>
    <x:row r="157" ht="44" customHeight="1">
      <x:c r="A157" s="3" t="str">
        <x:v>S2-TC104</x:v>
      </x:c>
      <x:c r="B157" s="3" t="str">
        <x:v>F04 Lưu/tìm thẻ</x:v>
      </x:c>
      <x:c r="C157" s="3" t="str">
        <x:v>Bấm thẻ mở tìm kiếm</x:v>
      </x:c>
      <x:c r="D157" s="3" t="str">
        <x:v>P1</x:v>
      </x:c>
      <x:c r="E157" s="6" t="str">
        <x:v>Not Run</x:v>
      </x:c>
      <x:c r="F157" s="6" t="str"/>
      <x:c r="G157" s="13"/>
      <x:c r="H157" s="6" t="str"/>
      <x:c r="I157" s="6" t="str"/>
      <x:c r="J157" s="6" t="str"/>
      <x:c r="K157" s="6" t="str"/>
      <x:c r="L157" s="6" t="str"/>
      <x:c r="M157" s="6" t="str">
        <x:v>Hoàng Đại Hợp</x:v>
      </x:c>
    </x:row>
    <x:row r="158" ht="44" customHeight="1">
      <x:c r="A158" s="3" t="str">
        <x:v>S2-TC105</x:v>
      </x:c>
      <x:c r="B158" s="3" t="str">
        <x:v>F04 Lưu/tìm thẻ</x:v>
      </x:c>
      <x:c r="C158" s="3" t="str">
        <x:v>Tìm thẻ khác hoa/thường</x:v>
      </x:c>
      <x:c r="D158" s="3" t="str">
        <x:v>P2</x:v>
      </x:c>
      <x:c r="E158" s="6" t="str">
        <x:v>Not Run</x:v>
      </x:c>
      <x:c r="F158" s="6" t="str"/>
      <x:c r="G158" s="13"/>
      <x:c r="H158" s="6" t="str"/>
      <x:c r="I158" s="6" t="str"/>
      <x:c r="J158" s="6" t="str"/>
      <x:c r="K158" s="6" t="str"/>
      <x:c r="L158" s="6" t="str"/>
      <x:c r="M158" s="6" t="str">
        <x:v>Hoàng Đại Hợp</x:v>
      </x:c>
    </x:row>
    <x:row r="159" ht="44" customHeight="1">
      <x:c r="A159" s="3" t="str">
        <x:v>S2-TC106</x:v>
      </x:c>
      <x:c r="B159" s="3" t="str">
        <x:v>F04 Lưu/tìm thẻ</x:v>
      </x:c>
      <x:c r="C159" s="3" t="str">
        <x:v>Thẻ tiếng Việt trong URL</x:v>
      </x:c>
      <x:c r="D159" s="3" t="str">
        <x:v>P2</x:v>
      </x:c>
      <x:c r="E159" s="6" t="str">
        <x:v>Not Run</x:v>
      </x:c>
      <x:c r="F159" s="6" t="str"/>
      <x:c r="G159" s="13"/>
      <x:c r="H159" s="6" t="str"/>
      <x:c r="I159" s="6" t="str"/>
      <x:c r="J159" s="6" t="str"/>
      <x:c r="K159" s="6" t="str"/>
      <x:c r="L159" s="6" t="str"/>
      <x:c r="M159" s="6" t="str">
        <x:v>Hoàng Đại Hợp</x:v>
      </x:c>
    </x:row>
    <x:row r="160" ht="44" customHeight="1">
      <x:c r="A160" s="3" t="str">
        <x:v>S2-TC107</x:v>
      </x:c>
      <x:c r="B160" s="3" t="str">
        <x:v>F04 Lưu/tìm thẻ</x:v>
      </x:c>
      <x:c r="C160" s="3" t="str">
        <x:v>Tìm thẻ không tồn tại</x:v>
      </x:c>
      <x:c r="D160" s="3" t="str">
        <x:v>P2</x:v>
      </x:c>
      <x:c r="E160" s="6" t="str">
        <x:v>Not Run</x:v>
      </x:c>
      <x:c r="F160" s="6" t="str"/>
      <x:c r="G160" s="13"/>
      <x:c r="H160" s="6" t="str"/>
      <x:c r="I160" s="6" t="str"/>
      <x:c r="J160" s="6" t="str"/>
      <x:c r="K160" s="6" t="str"/>
      <x:c r="L160" s="6" t="str"/>
      <x:c r="M160" s="6" t="str">
        <x:v>Hoàng Đại Hợp</x:v>
      </x:c>
    </x:row>
    <x:row r="161" ht="44" customHeight="1">
      <x:c r="A161" s="3" t="str">
        <x:v>S2-TC108</x:v>
      </x:c>
      <x:c r="B161" s="3" t="str">
        <x:v>F04 Lưu/tìm thẻ</x:v>
      </x:c>
      <x:c r="C161" s="3" t="str">
        <x:v>Tin không có thẻ</x:v>
      </x:c>
      <x:c r="D161" s="3" t="str">
        <x:v>P2</x:v>
      </x:c>
      <x:c r="E161" s="6" t="str">
        <x:v>Not Run</x:v>
      </x:c>
      <x:c r="F161" s="6" t="str"/>
      <x:c r="G161" s="13"/>
      <x:c r="H161" s="6" t="str"/>
      <x:c r="I161" s="6" t="str"/>
      <x:c r="J161" s="6" t="str"/>
      <x:c r="K161" s="6" t="str"/>
      <x:c r="L161" s="6" t="str"/>
      <x:c r="M161" s="6" t="str">
        <x:v>Hoàng Đại Hợp</x:v>
      </x:c>
    </x:row>
    <x:row r="162" ht="44" customHeight="1">
      <x:c r="A162" s="3" t="str">
        <x:v>S2-TC109</x:v>
      </x:c>
      <x:c r="B162" s="3" t="str">
        <x:v>F04 Lưu/tìm thẻ</x:v>
      </x:c>
      <x:c r="C162" s="3" t="str">
        <x:v>Tin ẩn không lộ qua thẻ</x:v>
      </x:c>
      <x:c r="D162" s="3" t="str">
        <x:v>P1</x:v>
      </x:c>
      <x:c r="E162" s="6" t="str">
        <x:v>Not Run</x:v>
      </x:c>
      <x:c r="F162" s="6" t="str"/>
      <x:c r="G162" s="13"/>
      <x:c r="H162" s="6" t="str"/>
      <x:c r="I162" s="6" t="str"/>
      <x:c r="J162" s="6" t="str"/>
      <x:c r="K162" s="6" t="str"/>
      <x:c r="L162" s="6" t="str"/>
      <x:c r="M162" s="6" t="str">
        <x:v>Hoàng Đại Hợp</x:v>
      </x:c>
    </x:row>
    <x:row r="163" ht="57" customHeight="1">
      <x:c r="A163" s="3" t="str">
        <x:v>S2-TC110</x:v>
      </x:c>
      <x:c r="B163" s="3" t="str">
        <x:v>F04 Lưu/tìm thẻ</x:v>
      </x:c>
      <x:c r="C163" s="3" t="str">
        <x:v>Rà soát/sửa thẻ theo phạm vi</x:v>
      </x:c>
      <x:c r="D163" s="3" t="str">
        <x:v>P2</x:v>
      </x:c>
      <x:c r="E163" s="6" t="str">
        <x:v>Not Run</x:v>
      </x:c>
      <x:c r="F163" s="6" t="str"/>
      <x:c r="G163" s="13"/>
      <x:c r="H163" s="6" t="str"/>
      <x:c r="I163" s="6" t="str"/>
      <x:c r="J163" s="6" t="str"/>
      <x:c r="K163" s="6" t="str"/>
      <x:c r="L163" s="6" t="str">
        <x:v>Nếu yêu cầu có nhưng chưa triển khai: ghi thiếu chức năng/Blocked, không tự N/A.</x:v>
      </x:c>
      <x:c r="M163" s="6" t="str">
        <x:v>Hoàng Đại Hợp</x:v>
      </x:c>
    </x:row>
    <x:row r="164" ht="44" customHeight="1">
      <x:c r="A164" s="3" t="str">
        <x:v>S2-TC111</x:v>
      </x:c>
      <x:c r="B164" s="3" t="str">
        <x:v>F01–F04 Hồi quy</x:v>
      </x:c>
      <x:c r="C164" s="3" t="str">
        <x:v>Luồng đăng nhập, đăng tin, AI và tìm</x:v>
      </x:c>
      <x:c r="D164" s="3" t="str">
        <x:v>P1</x:v>
      </x:c>
      <x:c r="E164" s="6" t="str">
        <x:v>Not Run</x:v>
      </x:c>
      <x:c r="F164" s="6" t="str"/>
      <x:c r="G164" s="13"/>
      <x:c r="H164" s="6" t="str"/>
      <x:c r="I164" s="6" t="str"/>
      <x:c r="J164" s="6" t="str"/>
      <x:c r="K164" s="6" t="str"/>
      <x:c r="L164" s="6" t="str"/>
      <x:c r="M164" s="6" t="str">
        <x:v>Hoàng Đại Hợp</x:v>
      </x:c>
    </x:row>
    <x:row r="165" ht="44" customHeight="1">
      <x:c r="A165" s="3" t="str">
        <x:v>S2-TC112</x:v>
      </x:c>
      <x:c r="B165" s="3" t="str">
        <x:v>F04 Bộ đánh giá AI</x:v>
      </x:c>
      <x:c r="C165" s="3" t="str">
        <x:v>AI bộ chuẩn 01</x:v>
      </x:c>
      <x:c r="D165" s="3" t="str">
        <x:v>P2</x:v>
      </x:c>
      <x:c r="E165" s="6" t="str">
        <x:v>Not Run</x:v>
      </x:c>
      <x:c r="F165" s="6" t="str"/>
      <x:c r="G165" s="13"/>
      <x:c r="H165" s="6" t="str"/>
      <x:c r="I165" s="6" t="str"/>
      <x:c r="J165" s="6" t="str"/>
      <x:c r="K165" s="6" t="str"/>
      <x:c r="L165" s="6" t="str"/>
      <x:c r="M165" s="6" t="str">
        <x:v>Hoàng Đại Hợp</x:v>
      </x:c>
    </x:row>
    <x:row r="166" ht="44" customHeight="1">
      <x:c r="A166" s="3" t="str">
        <x:v>S2-TC113</x:v>
      </x:c>
      <x:c r="B166" s="3" t="str">
        <x:v>F04 Bộ đánh giá AI</x:v>
      </x:c>
      <x:c r="C166" s="3" t="str">
        <x:v>AI bộ chuẩn 02</x:v>
      </x:c>
      <x:c r="D166" s="3" t="str">
        <x:v>P2</x:v>
      </x:c>
      <x:c r="E166" s="6" t="str">
        <x:v>Not Run</x:v>
      </x:c>
      <x:c r="F166" s="6" t="str"/>
      <x:c r="G166" s="13"/>
      <x:c r="H166" s="6" t="str"/>
      <x:c r="I166" s="6" t="str"/>
      <x:c r="J166" s="6" t="str"/>
      <x:c r="K166" s="6" t="str"/>
      <x:c r="L166" s="6" t="str"/>
      <x:c r="M166" s="6" t="str">
        <x:v>Hoàng Đại Hợp</x:v>
      </x:c>
    </x:row>
    <x:row r="167" ht="44" customHeight="1">
      <x:c r="A167" s="3" t="str">
        <x:v>S2-TC114</x:v>
      </x:c>
      <x:c r="B167" s="3" t="str">
        <x:v>F04 Bộ đánh giá AI</x:v>
      </x:c>
      <x:c r="C167" s="3" t="str">
        <x:v>AI bộ chuẩn 03</x:v>
      </x:c>
      <x:c r="D167" s="3" t="str">
        <x:v>P2</x:v>
      </x:c>
      <x:c r="E167" s="6" t="str">
        <x:v>Not Run</x:v>
      </x:c>
      <x:c r="F167" s="6" t="str"/>
      <x:c r="G167" s="13"/>
      <x:c r="H167" s="6" t="str"/>
      <x:c r="I167" s="6" t="str"/>
      <x:c r="J167" s="6" t="str"/>
      <x:c r="K167" s="6" t="str"/>
      <x:c r="L167" s="6" t="str"/>
      <x:c r="M167" s="6" t="str">
        <x:v>Hoàng Đại Hợp</x:v>
      </x:c>
    </x:row>
    <x:row r="168" ht="44" customHeight="1">
      <x:c r="A168" s="3" t="str">
        <x:v>S2-TC115</x:v>
      </x:c>
      <x:c r="B168" s="3" t="str">
        <x:v>F04 Bộ đánh giá AI</x:v>
      </x:c>
      <x:c r="C168" s="3" t="str">
        <x:v>AI bộ chuẩn 04</x:v>
      </x:c>
      <x:c r="D168" s="3" t="str">
        <x:v>P2</x:v>
      </x:c>
      <x:c r="E168" s="6" t="str">
        <x:v>Not Run</x:v>
      </x:c>
      <x:c r="F168" s="6" t="str"/>
      <x:c r="G168" s="13"/>
      <x:c r="H168" s="6" t="str"/>
      <x:c r="I168" s="6" t="str"/>
      <x:c r="J168" s="6" t="str"/>
      <x:c r="K168" s="6" t="str"/>
      <x:c r="L168" s="6" t="str"/>
      <x:c r="M168" s="6" t="str">
        <x:v>Hoàng Đại Hợp</x:v>
      </x:c>
    </x:row>
    <x:row r="169" ht="44" customHeight="1">
      <x:c r="A169" s="3" t="str">
        <x:v>S2-TC116</x:v>
      </x:c>
      <x:c r="B169" s="3" t="str">
        <x:v>F04 Bộ đánh giá AI</x:v>
      </x:c>
      <x:c r="C169" s="3" t="str">
        <x:v>AI bộ chuẩn 05</x:v>
      </x:c>
      <x:c r="D169" s="3" t="str">
        <x:v>P2</x:v>
      </x:c>
      <x:c r="E169" s="6" t="str">
        <x:v>Not Run</x:v>
      </x:c>
      <x:c r="F169" s="6" t="str"/>
      <x:c r="G169" s="13"/>
      <x:c r="H169" s="6" t="str"/>
      <x:c r="I169" s="6" t="str"/>
      <x:c r="J169" s="6" t="str"/>
      <x:c r="K169" s="6" t="str"/>
      <x:c r="L169" s="6" t="str"/>
      <x:c r="M169" s="6" t="str">
        <x:v>Hoàng Đại Hợp</x:v>
      </x:c>
    </x:row>
    <x:row r="170" ht="44" customHeight="1">
      <x:c r="A170" s="3" t="str">
        <x:v>S2-TC117</x:v>
      </x:c>
      <x:c r="B170" s="3" t="str">
        <x:v>F04 Bộ đánh giá AI</x:v>
      </x:c>
      <x:c r="C170" s="3" t="str">
        <x:v>AI bộ chuẩn 06</x:v>
      </x:c>
      <x:c r="D170" s="3" t="str">
        <x:v>P2</x:v>
      </x:c>
      <x:c r="E170" s="6" t="str">
        <x:v>Not Run</x:v>
      </x:c>
      <x:c r="F170" s="6" t="str"/>
      <x:c r="G170" s="13"/>
      <x:c r="H170" s="6" t="str"/>
      <x:c r="I170" s="6" t="str"/>
      <x:c r="J170" s="6" t="str"/>
      <x:c r="K170" s="6" t="str"/>
      <x:c r="L170" s="6" t="str"/>
      <x:c r="M170" s="6" t="str">
        <x:v>Hoàng Đại Hợp</x:v>
      </x:c>
    </x:row>
    <x:row r="171" ht="44" customHeight="1">
      <x:c r="A171" s="3" t="str">
        <x:v>S2-TC118</x:v>
      </x:c>
      <x:c r="B171" s="3" t="str">
        <x:v>F04 Bộ đánh giá AI</x:v>
      </x:c>
      <x:c r="C171" s="3" t="str">
        <x:v>AI bộ chuẩn 07</x:v>
      </x:c>
      <x:c r="D171" s="3" t="str">
        <x:v>P2</x:v>
      </x:c>
      <x:c r="E171" s="6" t="str">
        <x:v>Not Run</x:v>
      </x:c>
      <x:c r="F171" s="6" t="str"/>
      <x:c r="G171" s="13"/>
      <x:c r="H171" s="6" t="str"/>
      <x:c r="I171" s="6" t="str"/>
      <x:c r="J171" s="6" t="str"/>
      <x:c r="K171" s="6" t="str"/>
      <x:c r="L171" s="6" t="str"/>
      <x:c r="M171" s="6" t="str">
        <x:v>Hoàng Đại Hợp</x:v>
      </x:c>
    </x:row>
    <x:row r="172" ht="44" customHeight="1">
      <x:c r="A172" s="3" t="str">
        <x:v>S2-TC119</x:v>
      </x:c>
      <x:c r="B172" s="3" t="str">
        <x:v>F04 Bộ đánh giá AI</x:v>
      </x:c>
      <x:c r="C172" s="3" t="str">
        <x:v>AI bộ chuẩn 08</x:v>
      </x:c>
      <x:c r="D172" s="3" t="str">
        <x:v>P2</x:v>
      </x:c>
      <x:c r="E172" s="6" t="str">
        <x:v>Not Run</x:v>
      </x:c>
      <x:c r="F172" s="6" t="str"/>
      <x:c r="G172" s="13"/>
      <x:c r="H172" s="6" t="str"/>
      <x:c r="I172" s="6" t="str"/>
      <x:c r="J172" s="6" t="str"/>
      <x:c r="K172" s="6" t="str"/>
      <x:c r="L172" s="6" t="str"/>
      <x:c r="M172" s="6" t="str">
        <x:v>Hoàng Đại Hợp</x:v>
      </x:c>
    </x:row>
    <x:row r="173" ht="44" customHeight="1">
      <x:c r="A173" s="3" t="str">
        <x:v>S2-TC120</x:v>
      </x:c>
      <x:c r="B173" s="3" t="str">
        <x:v>F04 Bộ đánh giá AI</x:v>
      </x:c>
      <x:c r="C173" s="3" t="str">
        <x:v>AI bộ chuẩn 09</x:v>
      </x:c>
      <x:c r="D173" s="3" t="str">
        <x:v>P2</x:v>
      </x:c>
      <x:c r="E173" s="6" t="str">
        <x:v>Not Run</x:v>
      </x:c>
      <x:c r="F173" s="6" t="str"/>
      <x:c r="G173" s="13"/>
      <x:c r="H173" s="6" t="str"/>
      <x:c r="I173" s="6" t="str"/>
      <x:c r="J173" s="6" t="str"/>
      <x:c r="K173" s="6" t="str"/>
      <x:c r="L173" s="6" t="str"/>
      <x:c r="M173" s="6" t="str">
        <x:v>Hoàng Đại Hợp</x:v>
      </x:c>
    </x:row>
    <x:row r="174" ht="44" customHeight="1">
      <x:c r="A174" s="3" t="str">
        <x:v>S2-TC121</x:v>
      </x:c>
      <x:c r="B174" s="3" t="str">
        <x:v>F04 Bộ đánh giá AI</x:v>
      </x:c>
      <x:c r="C174" s="3" t="str">
        <x:v>AI bộ chuẩn 10</x:v>
      </x:c>
      <x:c r="D174" s="3" t="str">
        <x:v>P2</x:v>
      </x:c>
      <x:c r="E174" s="6" t="str">
        <x:v>Not Run</x:v>
      </x:c>
      <x:c r="F174" s="6" t="str"/>
      <x:c r="G174" s="13"/>
      <x:c r="H174" s="6" t="str"/>
      <x:c r="I174" s="6" t="str"/>
      <x:c r="J174" s="6" t="str"/>
      <x:c r="K174" s="6" t="str"/>
      <x:c r="L174" s="6" t="str"/>
      <x:c r="M174" s="6" t="str">
        <x:v>Hoàng Đại Hợp</x:v>
      </x:c>
    </x:row>
    <x:row r="175" ht="44" customHeight="1">
      <x:c r="A175" s="3" t="str">
        <x:v>S2-TC122</x:v>
      </x:c>
      <x:c r="B175" s="3" t="str">
        <x:v>F04 Bộ đánh giá AI</x:v>
      </x:c>
      <x:c r="C175" s="3" t="str">
        <x:v>AI bộ chuẩn 11</x:v>
      </x:c>
      <x:c r="D175" s="3" t="str">
        <x:v>P1</x:v>
      </x:c>
      <x:c r="E175" s="6" t="str">
        <x:v>Not Run</x:v>
      </x:c>
      <x:c r="F175" s="6" t="str"/>
      <x:c r="G175" s="13"/>
      <x:c r="H175" s="6" t="str"/>
      <x:c r="I175" s="6" t="str"/>
      <x:c r="J175" s="6" t="str"/>
      <x:c r="K175" s="6" t="str"/>
      <x:c r="L175" s="6" t="str"/>
      <x:c r="M175" s="6" t="str">
        <x:v>Hoàng Đại Hợp</x:v>
      </x:c>
    </x:row>
    <x:row r="176" ht="44" customHeight="1">
      <x:c r="A176" s="3" t="str">
        <x:v>S2-TC123</x:v>
      </x:c>
      <x:c r="B176" s="3" t="str">
        <x:v>F04 Bộ đánh giá AI</x:v>
      </x:c>
      <x:c r="C176" s="3" t="str">
        <x:v>AI bộ chuẩn 12</x:v>
      </x:c>
      <x:c r="D176" s="3" t="str">
        <x:v>P1</x:v>
      </x:c>
      <x:c r="E176" s="6" t="str">
        <x:v>Not Run</x:v>
      </x:c>
      <x:c r="F176" s="6" t="str"/>
      <x:c r="G176" s="13"/>
      <x:c r="H176" s="6" t="str"/>
      <x:c r="I176" s="6" t="str"/>
      <x:c r="J176" s="6" t="str"/>
      <x:c r="K176" s="6" t="str"/>
      <x:c r="L176" s="6" t="str"/>
      <x:c r="M176" s="6" t="str">
        <x:v>Hoàng Đại Hợp</x:v>
      </x:c>
    </x:row>
    <x:row r="177" ht="44" customHeight="1">
      <x:c r="A177" s="3" t="str">
        <x:v>S2-TC124</x:v>
      </x:c>
      <x:c r="B177" s="3" t="str">
        <x:v>F04 Bộ đánh giá AI</x:v>
      </x:c>
      <x:c r="C177" s="3" t="str">
        <x:v>AI bộ chuẩn 13</x:v>
      </x:c>
      <x:c r="D177" s="3" t="str">
        <x:v>P1</x:v>
      </x:c>
      <x:c r="E177" s="6" t="str">
        <x:v>Not Run</x:v>
      </x:c>
      <x:c r="F177" s="6" t="str"/>
      <x:c r="G177" s="13"/>
      <x:c r="H177" s="6" t="str"/>
      <x:c r="I177" s="6" t="str"/>
      <x:c r="J177" s="6" t="str"/>
      <x:c r="K177" s="6" t="str"/>
      <x:c r="L177" s="6" t="str"/>
      <x:c r="M177" s="6" t="str">
        <x:v>Hoàng Đại Hợp</x:v>
      </x:c>
    </x:row>
    <x:row r="178" ht="44" customHeight="1">
      <x:c r="A178" s="3" t="str">
        <x:v>S2-TC125</x:v>
      </x:c>
      <x:c r="B178" s="3" t="str">
        <x:v>F04 Bộ đánh giá AI</x:v>
      </x:c>
      <x:c r="C178" s="3" t="str">
        <x:v>AI bộ chuẩn 14</x:v>
      </x:c>
      <x:c r="D178" s="3" t="str">
        <x:v>P1</x:v>
      </x:c>
      <x:c r="E178" s="6" t="str">
        <x:v>Not Run</x:v>
      </x:c>
      <x:c r="F178" s="6" t="str"/>
      <x:c r="G178" s="13"/>
      <x:c r="H178" s="6" t="str"/>
      <x:c r="I178" s="6" t="str"/>
      <x:c r="J178" s="6" t="str"/>
      <x:c r="K178" s="6" t="str"/>
      <x:c r="L178" s="6" t="str"/>
      <x:c r="M178" s="6" t="str">
        <x:v>Hoàng Đại Hợp</x:v>
      </x:c>
    </x:row>
    <x:row r="179" ht="44" customHeight="1">
      <x:c r="A179" s="3" t="str">
        <x:v>S2-TC126</x:v>
      </x:c>
      <x:c r="B179" s="3" t="str">
        <x:v>F04 Bộ đánh giá AI</x:v>
      </x:c>
      <x:c r="C179" s="3" t="str">
        <x:v>AI bộ chuẩn 15</x:v>
      </x:c>
      <x:c r="D179" s="3" t="str">
        <x:v>P1</x:v>
      </x:c>
      <x:c r="E179" s="6" t="str">
        <x:v>Not Run</x:v>
      </x:c>
      <x:c r="F179" s="6" t="str"/>
      <x:c r="G179" s="13"/>
      <x:c r="H179" s="6" t="str"/>
      <x:c r="I179" s="6" t="str"/>
      <x:c r="J179" s="6" t="str"/>
      <x:c r="K179" s="6" t="str"/>
      <x:c r="L179" s="6" t="str"/>
      <x:c r="M179" s="6" t="str">
        <x:v>Hoàng Đại Hợp</x:v>
      </x:c>
    </x:row>
    <x:row r="180" ht="44" customHeight="1">
      <x:c r="A180" s="3" t="str">
        <x:v>S2-TC127</x:v>
      </x:c>
      <x:c r="B180" s="3" t="str">
        <x:v>F04 Bộ đánh giá AI</x:v>
      </x:c>
      <x:c r="C180" s="3" t="str">
        <x:v>AI bộ chuẩn 16</x:v>
      </x:c>
      <x:c r="D180" s="3" t="str">
        <x:v>P2</x:v>
      </x:c>
      <x:c r="E180" s="6" t="str">
        <x:v>Not Run</x:v>
      </x:c>
      <x:c r="F180" s="6" t="str"/>
      <x:c r="G180" s="13"/>
      <x:c r="H180" s="6" t="str"/>
      <x:c r="I180" s="6" t="str"/>
      <x:c r="J180" s="6" t="str"/>
      <x:c r="K180" s="6" t="str"/>
      <x:c r="L180" s="6" t="str"/>
      <x:c r="M180" s="6" t="str">
        <x:v>Hoàng Đại Hợp</x:v>
      </x:c>
    </x:row>
    <x:row r="181" ht="44" customHeight="1">
      <x:c r="A181" s="3" t="str">
        <x:v>S2-TC128</x:v>
      </x:c>
      <x:c r="B181" s="3" t="str">
        <x:v>F04 Bộ đánh giá AI</x:v>
      </x:c>
      <x:c r="C181" s="3" t="str">
        <x:v>AI bộ chuẩn 17</x:v>
      </x:c>
      <x:c r="D181" s="3" t="str">
        <x:v>P2</x:v>
      </x:c>
      <x:c r="E181" s="6" t="str">
        <x:v>Not Run</x:v>
      </x:c>
      <x:c r="F181" s="6" t="str"/>
      <x:c r="G181" s="13"/>
      <x:c r="H181" s="6" t="str"/>
      <x:c r="I181" s="6" t="str"/>
      <x:c r="J181" s="6" t="str"/>
      <x:c r="K181" s="6" t="str"/>
      <x:c r="L181" s="6" t="str"/>
      <x:c r="M181" s="6" t="str">
        <x:v>Hoàng Đại Hợp</x:v>
      </x:c>
    </x:row>
    <x:row r="182" ht="44" customHeight="1">
      <x:c r="A182" s="3" t="str">
        <x:v>S2-TC129</x:v>
      </x:c>
      <x:c r="B182" s="3" t="str">
        <x:v>F04 Bộ đánh giá AI</x:v>
      </x:c>
      <x:c r="C182" s="3" t="str">
        <x:v>AI bộ chuẩn 18</x:v>
      </x:c>
      <x:c r="D182" s="3" t="str">
        <x:v>P2</x:v>
      </x:c>
      <x:c r="E182" s="6" t="str">
        <x:v>Not Run</x:v>
      </x:c>
      <x:c r="F182" s="6" t="str"/>
      <x:c r="G182" s="13"/>
      <x:c r="H182" s="6" t="str"/>
      <x:c r="I182" s="6" t="str"/>
      <x:c r="J182" s="6" t="str"/>
      <x:c r="K182" s="6" t="str"/>
      <x:c r="L182" s="6" t="str"/>
      <x:c r="M182" s="6" t="str">
        <x:v>Hoàng Đại Hợp</x:v>
      </x:c>
    </x:row>
    <x:row r="183" ht="44" customHeight="1">
      <x:c r="A183" s="3" t="str">
        <x:v>S2-TC130</x:v>
      </x:c>
      <x:c r="B183" s="3" t="str">
        <x:v>F04 Bộ đánh giá AI</x:v>
      </x:c>
      <x:c r="C183" s="3" t="str">
        <x:v>AI bộ chuẩn 19</x:v>
      </x:c>
      <x:c r="D183" s="3" t="str">
        <x:v>P2</x:v>
      </x:c>
      <x:c r="E183" s="6" t="str">
        <x:v>Not Run</x:v>
      </x:c>
      <x:c r="F183" s="6" t="str"/>
      <x:c r="G183" s="13"/>
      <x:c r="H183" s="6" t="str"/>
      <x:c r="I183" s="6" t="str"/>
      <x:c r="J183" s="6" t="str"/>
      <x:c r="K183" s="6" t="str"/>
      <x:c r="L183" s="6" t="str"/>
      <x:c r="M183" s="6" t="str">
        <x:v>Hoàng Đại Hợp</x:v>
      </x:c>
    </x:row>
    <x:row r="184" ht="44" customHeight="1">
      <x:c r="A184" s="3" t="str">
        <x:v>S2-TC131</x:v>
      </x:c>
      <x:c r="B184" s="3" t="str">
        <x:v>F04 Bộ đánh giá AI</x:v>
      </x:c>
      <x:c r="C184" s="3" t="str">
        <x:v>AI bộ chuẩn 20</x:v>
      </x:c>
      <x:c r="D184" s="3" t="str">
        <x:v>P2</x:v>
      </x:c>
      <x:c r="E184" s="6" t="str">
        <x:v>Not Run</x:v>
      </x:c>
      <x:c r="F184" s="6" t="str"/>
      <x:c r="G184" s="13"/>
      <x:c r="H184" s="6" t="str"/>
      <x:c r="I184" s="6" t="str"/>
      <x:c r="J184" s="6" t="str"/>
      <x:c r="K184" s="6" t="str"/>
      <x:c r="L184" s="6" t="str"/>
      <x:c r="M184" s="6" t="str">
        <x:v>Hoàng Đại Hợp</x:v>
      </x:c>
    </x:row>
    <x:row r="185" ht="44" customHeight="1">
      <x:c r="A185" s="3" t="str">
        <x:v>S2-TC132</x:v>
      </x:c>
      <x:c r="B185" s="3" t="str">
        <x:v>F04 Bộ đánh giá AI</x:v>
      </x:c>
      <x:c r="C185" s="3" t="str">
        <x:v>AI bộ chuẩn 21</x:v>
      </x:c>
      <x:c r="D185" s="3" t="str">
        <x:v>P2</x:v>
      </x:c>
      <x:c r="E185" s="6" t="str">
        <x:v>Not Run</x:v>
      </x:c>
      <x:c r="F185" s="6" t="str"/>
      <x:c r="G185" s="13"/>
      <x:c r="H185" s="6" t="str"/>
      <x:c r="I185" s="6" t="str"/>
      <x:c r="J185" s="6" t="str"/>
      <x:c r="K185" s="6" t="str"/>
      <x:c r="L185" s="6" t="str"/>
      <x:c r="M185" s="6" t="str">
        <x:v>Hoàng Đại Hợp</x:v>
      </x:c>
    </x:row>
    <x:row r="186" ht="44" customHeight="1">
      <x:c r="A186" s="3" t="str">
        <x:v>S2-TC133</x:v>
      </x:c>
      <x:c r="B186" s="3" t="str">
        <x:v>F04 Bộ đánh giá AI</x:v>
      </x:c>
      <x:c r="C186" s="3" t="str">
        <x:v>AI bộ chuẩn 22</x:v>
      </x:c>
      <x:c r="D186" s="3" t="str">
        <x:v>P2</x:v>
      </x:c>
      <x:c r="E186" s="6" t="str">
        <x:v>Not Run</x:v>
      </x:c>
      <x:c r="F186" s="6" t="str"/>
      <x:c r="G186" s="13"/>
      <x:c r="H186" s="6" t="str"/>
      <x:c r="I186" s="6" t="str"/>
      <x:c r="J186" s="6" t="str"/>
      <x:c r="K186" s="6" t="str"/>
      <x:c r="L186" s="6" t="str"/>
      <x:c r="M186" s="6" t="str">
        <x:v>Hoàng Đại Hợp</x:v>
      </x:c>
    </x:row>
    <x:row r="187" ht="44" customHeight="1">
      <x:c r="A187" s="3" t="str">
        <x:v>S2-TC134</x:v>
      </x:c>
      <x:c r="B187" s="3" t="str">
        <x:v>F04 Bộ đánh giá AI</x:v>
      </x:c>
      <x:c r="C187" s="3" t="str">
        <x:v>AI bộ chuẩn 23</x:v>
      </x:c>
      <x:c r="D187" s="3" t="str">
        <x:v>P2</x:v>
      </x:c>
      <x:c r="E187" s="6" t="str">
        <x:v>Not Run</x:v>
      </x:c>
      <x:c r="F187" s="6" t="str"/>
      <x:c r="G187" s="13"/>
      <x:c r="H187" s="6" t="str"/>
      <x:c r="I187" s="6" t="str"/>
      <x:c r="J187" s="6" t="str"/>
      <x:c r="K187" s="6" t="str"/>
      <x:c r="L187" s="6" t="str"/>
      <x:c r="M187" s="6" t="str">
        <x:v>Hoàng Đại Hợp</x:v>
      </x:c>
    </x:row>
    <x:row r="188" ht="44" customHeight="1">
      <x:c r="A188" s="3" t="str">
        <x:v>S2-TC135</x:v>
      </x:c>
      <x:c r="B188" s="3" t="str">
        <x:v>F04 Bộ đánh giá AI</x:v>
      </x:c>
      <x:c r="C188" s="3" t="str">
        <x:v>AI bộ chuẩn 24</x:v>
      </x:c>
      <x:c r="D188" s="3" t="str">
        <x:v>P2</x:v>
      </x:c>
      <x:c r="E188" s="6" t="str">
        <x:v>Not Run</x:v>
      </x:c>
      <x:c r="F188" s="6" t="str"/>
      <x:c r="G188" s="13"/>
      <x:c r="H188" s="6" t="str"/>
      <x:c r="I188" s="6" t="str"/>
      <x:c r="J188" s="6" t="str"/>
      <x:c r="K188" s="6" t="str"/>
      <x:c r="L188" s="6" t="str"/>
      <x:c r="M188" s="6" t="str">
        <x:v>Hoàng Đại Hợp</x:v>
      </x:c>
    </x:row>
    <x:row r="189" ht="44" customHeight="1">
      <x:c r="A189" s="3" t="str">
        <x:v>S2-TC136</x:v>
      </x:c>
      <x:c r="B189" s="3" t="str">
        <x:v>F04 Bộ đánh giá AI</x:v>
      </x:c>
      <x:c r="C189" s="3" t="str">
        <x:v>AI bộ chuẩn 25</x:v>
      </x:c>
      <x:c r="D189" s="3" t="str">
        <x:v>P2</x:v>
      </x:c>
      <x:c r="E189" s="6" t="str">
        <x:v>Not Run</x:v>
      </x:c>
      <x:c r="F189" s="6" t="str"/>
      <x:c r="G189" s="13"/>
      <x:c r="H189" s="6" t="str"/>
      <x:c r="I189" s="6" t="str"/>
      <x:c r="J189" s="6" t="str"/>
      <x:c r="K189" s="6" t="str"/>
      <x:c r="L189" s="6" t="str"/>
      <x:c r="M189" s="6" t="str">
        <x:v>Hoàng Đại Hợp</x:v>
      </x:c>
    </x:row>
    <x:row r="190" ht="44" customHeight="1">
      <x:c r="A190" s="3" t="str">
        <x:v>S2-TC137</x:v>
      </x:c>
      <x:c r="B190" s="3" t="str">
        <x:v>F04 Bộ đánh giá AI</x:v>
      </x:c>
      <x:c r="C190" s="3" t="str">
        <x:v>AI bộ chuẩn 26</x:v>
      </x:c>
      <x:c r="D190" s="3" t="str">
        <x:v>P1</x:v>
      </x:c>
      <x:c r="E190" s="6" t="str">
        <x:v>Not Run</x:v>
      </x:c>
      <x:c r="F190" s="6" t="str"/>
      <x:c r="G190" s="13"/>
      <x:c r="H190" s="6" t="str"/>
      <x:c r="I190" s="6" t="str"/>
      <x:c r="J190" s="6" t="str"/>
      <x:c r="K190" s="6" t="str"/>
      <x:c r="L190" s="6" t="str"/>
      <x:c r="M190" s="6" t="str">
        <x:v>Hoàng Đại Hợp</x:v>
      </x:c>
    </x:row>
    <x:row r="191" ht="44" customHeight="1">
      <x:c r="A191" s="3" t="str">
        <x:v>S2-TC138</x:v>
      </x:c>
      <x:c r="B191" s="3" t="str">
        <x:v>F04 Bộ đánh giá AI</x:v>
      </x:c>
      <x:c r="C191" s="3" t="str">
        <x:v>AI bộ chuẩn 27</x:v>
      </x:c>
      <x:c r="D191" s="3" t="str">
        <x:v>P1</x:v>
      </x:c>
      <x:c r="E191" s="6" t="str">
        <x:v>Not Run</x:v>
      </x:c>
      <x:c r="F191" s="6" t="str"/>
      <x:c r="G191" s="13"/>
      <x:c r="H191" s="6" t="str"/>
      <x:c r="I191" s="6" t="str"/>
      <x:c r="J191" s="6" t="str"/>
      <x:c r="K191" s="6" t="str"/>
      <x:c r="L191" s="6" t="str"/>
      <x:c r="M191" s="6" t="str">
        <x:v>Hoàng Đại Hợp</x:v>
      </x:c>
    </x:row>
    <x:row r="192" ht="44" customHeight="1">
      <x:c r="A192" s="3" t="str">
        <x:v>S2-TC139</x:v>
      </x:c>
      <x:c r="B192" s="3" t="str">
        <x:v>F04 Bộ đánh giá AI</x:v>
      </x:c>
      <x:c r="C192" s="3" t="str">
        <x:v>AI bộ chuẩn 28</x:v>
      </x:c>
      <x:c r="D192" s="3" t="str">
        <x:v>P1</x:v>
      </x:c>
      <x:c r="E192" s="6" t="str">
        <x:v>Not Run</x:v>
      </x:c>
      <x:c r="F192" s="6" t="str"/>
      <x:c r="G192" s="13"/>
      <x:c r="H192" s="6" t="str"/>
      <x:c r="I192" s="6" t="str"/>
      <x:c r="J192" s="6" t="str"/>
      <x:c r="K192" s="6" t="str"/>
      <x:c r="L192" s="6" t="str"/>
      <x:c r="M192" s="6" t="str">
        <x:v>Hoàng Đại Hợp</x:v>
      </x:c>
    </x:row>
    <x:row r="193" ht="44" customHeight="1">
      <x:c r="A193" s="3" t="str">
        <x:v>S2-TC140</x:v>
      </x:c>
      <x:c r="B193" s="3" t="str">
        <x:v>F04 Bộ đánh giá AI</x:v>
      </x:c>
      <x:c r="C193" s="3" t="str">
        <x:v>AI bộ chuẩn 29</x:v>
      </x:c>
      <x:c r="D193" s="3" t="str">
        <x:v>P1</x:v>
      </x:c>
      <x:c r="E193" s="6" t="str">
        <x:v>Not Run</x:v>
      </x:c>
      <x:c r="F193" s="6" t="str"/>
      <x:c r="G193" s="13"/>
      <x:c r="H193" s="6" t="str"/>
      <x:c r="I193" s="6" t="str"/>
      <x:c r="J193" s="6" t="str"/>
      <x:c r="K193" s="6" t="str"/>
      <x:c r="L193" s="6" t="str"/>
      <x:c r="M193" s="6" t="str">
        <x:v>Hoàng Đại Hợp</x:v>
      </x:c>
    </x:row>
    <x:row r="194" ht="44" customHeight="1">
      <x:c r="A194" s="3" t="str">
        <x:v>S2-TC141</x:v>
      </x:c>
      <x:c r="B194" s="3" t="str">
        <x:v>F04 Bộ đánh giá AI</x:v>
      </x:c>
      <x:c r="C194" s="3" t="str">
        <x:v>AI bộ chuẩn 30</x:v>
      </x:c>
      <x:c r="D194" s="3" t="str">
        <x:v>P2</x:v>
      </x:c>
      <x:c r="E194" s="6" t="str">
        <x:v>Not Run</x:v>
      </x:c>
      <x:c r="F194" s="6" t="str"/>
      <x:c r="G194" s="13"/>
      <x:c r="H194" s="6" t="str"/>
      <x:c r="I194" s="6" t="str"/>
      <x:c r="J194" s="6" t="str"/>
      <x:c r="K194" s="6" t="str"/>
      <x:c r="L194" s="6" t="str"/>
      <x:c r="M194" s="6" t="str">
        <x:v>Hoàng Đại Hợp</x:v>
      </x:c>
    </x:row>
    <x:row r="195" ht="44" customHeight="1">
      <x:c r="A195" s="3" t="str">
        <x:v>S2-TC142</x:v>
      </x:c>
      <x:c r="B195" s="3" t="str">
        <x:v>F04 Bộ đánh giá AI</x:v>
      </x:c>
      <x:c r="C195" s="3" t="str">
        <x:v>AI chạy lặp ca quan trọng</x:v>
      </x:c>
      <x:c r="D195" s="3" t="str">
        <x:v>P1</x:v>
      </x:c>
      <x:c r="E195" s="6" t="str">
        <x:v>Not Run</x:v>
      </x:c>
      <x:c r="F195" s="6" t="str"/>
      <x:c r="G195" s="13"/>
      <x:c r="H195" s="6" t="str"/>
      <x:c r="I195" s="6" t="str"/>
      <x:c r="J195" s="6" t="str"/>
      <x:c r="K195" s="6" t="str"/>
      <x:c r="L195" s="6" t="str"/>
      <x:c r="M195" s="6" t="str">
        <x:v>Hoàng Đại Hợp</x:v>
      </x:c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>
      <x:c r="A199" s="5" t="str">
        <x:v>Lỗi và tồn tại trong sprint</x:v>
      </x:c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 ht="34" customHeight="1">
      <x:c r="A201" s="10" t="str">
        <x:v>Mã lỗi</x:v>
      </x:c>
      <x:c r="B201" s="10" t="str">
        <x:v>Mã ca liên quan</x:v>
      </x:c>
      <x:c r="C201" s="10" t="str">
        <x:v>Mô tả lỗi</x:v>
      </x:c>
      <x:c r="D201" s="10" t="str">
        <x:v>Mức độ</x:v>
      </x:c>
      <x:c r="E201" s="10" t="str">
        <x:v>Ảnh hưởng</x:v>
      </x:c>
      <x:c r="F201" s="10" t="str">
        <x:v>Phương án xử lý</x:v>
      </x:c>
      <x:c r="G201" s="10" t="str">
        <x:v>Người sửa</x:v>
      </x:c>
      <x:c r="H201" s="10" t="str">
        <x:v>Trạng thái lỗi</x:v>
      </x:c>
      <x:c r="I201" s="10" t="str">
        <x:v>Build phát hiện</x:v>
      </x:c>
      <x:c r="J201" s="10" t="str">
        <x:v>Build sửa</x:v>
      </x:c>
      <x:c r="K201" s="10" t="str">
        <x:v>Kết quả retest</x:v>
      </x:c>
      <x:c r="L201" s="10" t="str">
        <x:v>Bằng chứng</x:v>
      </x:c>
      <x:c r="M201" s="10" t="str">
        <x:v>Quyết định / hạn xử lý</x:v>
      </x:c>
    </x:row>
    <x:row r="202" ht="60" customHeight="1">
      <x:c r="A202" s="6"/>
      <x:c r="B202" s="6"/>
      <x:c r="C202" s="6"/>
      <x:c r="D202" s="6"/>
      <x:c r="E202" s="6"/>
      <x:c r="F202" s="6"/>
      <x:c r="G202" s="6"/>
      <x:c r="H202" s="6"/>
      <x:c r="I202" s="6"/>
      <x:c r="J202" s="6"/>
      <x:c r="K202" s="6"/>
      <x:c r="L202" s="6"/>
      <x:c r="M202" s="6"/>
    </x:row>
    <x:row r="203" ht="60" customHeight="1">
      <x:c r="A203" s="6"/>
      <x:c r="B203" s="6"/>
      <x:c r="C203" s="6"/>
      <x:c r="D203" s="6"/>
      <x:c r="E203" s="6"/>
      <x:c r="F203" s="6"/>
      <x:c r="G203" s="6"/>
      <x:c r="H203" s="6"/>
      <x:c r="I203" s="6"/>
      <x:c r="J203" s="6"/>
      <x:c r="K203" s="6"/>
      <x:c r="L203" s="6"/>
      <x:c r="M203" s="6"/>
    </x:row>
    <x:row r="204" ht="60" customHeight="1">
      <x:c r="A204" s="6"/>
      <x:c r="B204" s="6"/>
      <x:c r="C204" s="6"/>
      <x:c r="D204" s="6"/>
      <x:c r="E204" s="6"/>
      <x:c r="F204" s="6"/>
      <x:c r="G204" s="6"/>
      <x:c r="H204" s="6"/>
      <x:c r="I204" s="6"/>
      <x:c r="J204" s="6"/>
      <x:c r="K204" s="6"/>
      <x:c r="L204" s="6"/>
      <x:c r="M204" s="6"/>
    </x:row>
    <x:row r="205" ht="60" customHeight="1">
      <x:c r="A205" s="6"/>
      <x:c r="B205" s="6"/>
      <x:c r="C205" s="6"/>
      <x:c r="D205" s="6"/>
      <x:c r="E205" s="6"/>
      <x:c r="F205" s="6"/>
      <x:c r="G205" s="6"/>
      <x:c r="H205" s="6"/>
      <x:c r="I205" s="6"/>
      <x:c r="J205" s="6"/>
      <x:c r="K205" s="6"/>
      <x:c r="L205" s="6"/>
      <x:c r="M205" s="6"/>
    </x:row>
    <x:row r="206" ht="60" customHeight="1">
      <x:c r="A206" s="6"/>
      <x:c r="B206" s="6"/>
      <x:c r="C206" s="6"/>
      <x:c r="D206" s="6"/>
      <x:c r="E206" s="6"/>
      <x:c r="F206" s="6"/>
      <x:c r="G206" s="6"/>
      <x:c r="H206" s="6"/>
      <x:c r="I206" s="6"/>
      <x:c r="J206" s="6"/>
      <x:c r="K206" s="6"/>
      <x:c r="L206" s="6"/>
      <x:c r="M206" s="6"/>
    </x:row>
    <x:row r="207" ht="60" customHeight="1">
      <x:c r="A207" s="6"/>
      <x:c r="B207" s="6"/>
      <x:c r="C207" s="6"/>
      <x:c r="D207" s="6"/>
      <x:c r="E207" s="6"/>
      <x:c r="F207" s="6"/>
      <x:c r="G207" s="6"/>
      <x:c r="H207" s="6"/>
      <x:c r="I207" s="6"/>
      <x:c r="J207" s="6"/>
      <x:c r="K207" s="6"/>
      <x:c r="L207" s="6"/>
      <x:c r="M207" s="6"/>
    </x:row>
    <x:row r="208" ht="60" customHeight="1">
      <x:c r="A208" s="6"/>
      <x:c r="B208" s="6"/>
      <x:c r="C208" s="6"/>
      <x:c r="D208" s="6"/>
      <x:c r="E208" s="6"/>
      <x:c r="F208" s="6"/>
      <x:c r="G208" s="6"/>
      <x:c r="H208" s="6"/>
      <x:c r="I208" s="6"/>
      <x:c r="J208" s="6"/>
      <x:c r="K208" s="6"/>
      <x:c r="L208" s="6"/>
      <x:c r="M208" s="6"/>
    </x:row>
    <x:row r="209" ht="60" customHeight="1">
      <x:c r="A209" s="6"/>
      <x:c r="B209" s="6"/>
      <x:c r="C209" s="6"/>
      <x:c r="D209" s="6"/>
      <x:c r="E209" s="6"/>
      <x:c r="F209" s="6"/>
      <x:c r="G209" s="6"/>
      <x:c r="H209" s="6"/>
      <x:c r="I209" s="6"/>
      <x:c r="J209" s="6"/>
      <x:c r="K209" s="6"/>
      <x:c r="L209" s="6"/>
      <x:c r="M209" s="6"/>
    </x:row>
    <x:row r="210" ht="60" customHeight="1">
      <x:c r="A210" s="6"/>
      <x:c r="B210" s="6"/>
      <x:c r="C210" s="6"/>
      <x:c r="D210" s="6"/>
      <x:c r="E210" s="6"/>
      <x:c r="F210" s="6"/>
      <x:c r="G210" s="6"/>
      <x:c r="H210" s="6"/>
      <x:c r="I210" s="6"/>
      <x:c r="J210" s="6"/>
      <x:c r="K210" s="6"/>
      <x:c r="L210" s="6"/>
      <x:c r="M210" s="6"/>
    </x:row>
    <x:row r="211" ht="60" customHeight="1">
      <x:c r="A211" s="6"/>
      <x:c r="B211" s="6"/>
      <x:c r="C211" s="6"/>
      <x:c r="D211" s="6"/>
      <x:c r="E211" s="6"/>
      <x:c r="F211" s="6"/>
      <x:c r="G211" s="6"/>
      <x:c r="H211" s="6"/>
      <x:c r="I211" s="6"/>
      <x:c r="J211" s="6"/>
      <x:c r="K211" s="6"/>
      <x:c r="L211" s="6"/>
      <x:c r="M211" s="6"/>
    </x:row>
    <x:row r="212" ht="60" customHeight="1">
      <x:c r="A212" s="6"/>
      <x:c r="B212" s="6"/>
      <x:c r="C212" s="6"/>
      <x:c r="D212" s="6"/>
      <x:c r="E212" s="6"/>
      <x:c r="F212" s="6"/>
      <x:c r="G212" s="6"/>
      <x:c r="H212" s="6"/>
      <x:c r="I212" s="6"/>
      <x:c r="J212" s="6"/>
      <x:c r="K212" s="6"/>
      <x:c r="L212" s="6"/>
      <x:c r="M212" s="6"/>
    </x:row>
    <x:row r="213" ht="60" customHeight="1">
      <x:c r="A213" s="6"/>
      <x:c r="B213" s="6"/>
      <x:c r="C213" s="6"/>
      <x:c r="D213" s="6"/>
      <x:c r="E213" s="6"/>
      <x:c r="F213" s="6"/>
      <x:c r="G213" s="6"/>
      <x:c r="H213" s="6"/>
      <x:c r="I213" s="6"/>
      <x:c r="J213" s="6"/>
      <x:c r="K213" s="6"/>
      <x:c r="L213" s="6"/>
      <x:c r="M213" s="6"/>
    </x:row>
    <x:row r="214" ht="60" customHeight="1">
      <x:c r="A214" s="6"/>
      <x:c r="B214" s="6"/>
      <x:c r="C214" s="6"/>
      <x:c r="D214" s="6"/>
      <x:c r="E214" s="6"/>
      <x:c r="F214" s="6"/>
      <x:c r="G214" s="6"/>
      <x:c r="H214" s="6"/>
      <x:c r="I214" s="6"/>
      <x:c r="J214" s="6"/>
      <x:c r="K214" s="6"/>
      <x:c r="L214" s="6"/>
      <x:c r="M214" s="6"/>
    </x:row>
    <x:row r="215" ht="60" customHeight="1">
      <x:c r="A215" s="6"/>
      <x:c r="B215" s="6"/>
      <x:c r="C215" s="6"/>
      <x:c r="D215" s="6"/>
      <x:c r="E215" s="6"/>
      <x:c r="F215" s="6"/>
      <x:c r="G215" s="6"/>
      <x:c r="H215" s="6"/>
      <x:c r="I215" s="6"/>
      <x:c r="J215" s="6"/>
      <x:c r="K215" s="6"/>
      <x:c r="L215" s="6"/>
      <x:c r="M215" s="6"/>
    </x:row>
    <x:row r="216" ht="60" customHeight="1">
      <x:c r="A216" s="6"/>
      <x:c r="B216" s="6"/>
      <x:c r="C216" s="6"/>
      <x:c r="D216" s="6"/>
      <x:c r="E216" s="6"/>
      <x:c r="F216" s="6"/>
      <x:c r="G216" s="6"/>
      <x:c r="H216" s="6"/>
      <x:c r="I216" s="6"/>
      <x:c r="J216" s="6"/>
      <x:c r="K216" s="6"/>
      <x:c r="L216" s="6"/>
      <x:c r="M216" s="6"/>
    </x:row>
    <x:row r="217" ht="60" customHeight="1">
      <x:c r="A217" s="6"/>
      <x:c r="B217" s="6"/>
      <x:c r="C217" s="6"/>
      <x:c r="D217" s="6"/>
      <x:c r="E217" s="6"/>
      <x:c r="F217" s="6"/>
      <x:c r="G217" s="6"/>
      <x:c r="H217" s="6"/>
      <x:c r="I217" s="6"/>
      <x:c r="J217" s="6"/>
      <x:c r="K217" s="6"/>
      <x:c r="L217" s="6"/>
      <x:c r="M217" s="6"/>
    </x:row>
    <x:row r="218" ht="60" customHeight="1">
      <x:c r="A218" s="6"/>
      <x:c r="B218" s="6"/>
      <x:c r="C218" s="6"/>
      <x:c r="D218" s="6"/>
      <x:c r="E218" s="6"/>
      <x:c r="F218" s="6"/>
      <x:c r="G218" s="6"/>
      <x:c r="H218" s="6"/>
      <x:c r="I218" s="6"/>
      <x:c r="J218" s="6"/>
      <x:c r="K218" s="6"/>
      <x:c r="L218" s="6"/>
      <x:c r="M218" s="6"/>
    </x:row>
    <x:row r="219" ht="60" customHeight="1">
      <x:c r="A219" s="6"/>
      <x:c r="B219" s="6"/>
      <x:c r="C219" s="6"/>
      <x:c r="D219" s="6"/>
      <x:c r="E219" s="6"/>
      <x:c r="F219" s="6"/>
      <x:c r="G219" s="6"/>
      <x:c r="H219" s="6"/>
      <x:c r="I219" s="6"/>
      <x:c r="J219" s="6"/>
      <x:c r="K219" s="6"/>
      <x:c r="L219" s="6"/>
      <x:c r="M219" s="6"/>
    </x:row>
    <x:row r="220" ht="60" customHeight="1">
      <x:c r="A220" s="6"/>
      <x:c r="B220" s="6"/>
      <x:c r="C220" s="6"/>
      <x:c r="D220" s="6"/>
      <x:c r="E220" s="6"/>
      <x:c r="F220" s="6"/>
      <x:c r="G220" s="6"/>
      <x:c r="H220" s="6"/>
      <x:c r="I220" s="6"/>
      <x:c r="J220" s="6"/>
      <x:c r="K220" s="6"/>
      <x:c r="L220" s="6"/>
      <x:c r="M220" s="6"/>
    </x:row>
    <x:row r="221" ht="60" customHeight="1">
      <x:c r="A221" s="6"/>
      <x:c r="B221" s="6"/>
      <x:c r="C221" s="6"/>
      <x:c r="D221" s="6"/>
      <x:c r="E221" s="6"/>
      <x:c r="F221" s="6"/>
      <x:c r="G221" s="6"/>
      <x:c r="H221" s="6"/>
      <x:c r="I221" s="6"/>
      <x:c r="J221" s="6"/>
      <x:c r="K221" s="6"/>
      <x:c r="L221" s="6"/>
      <x:c r="M221" s="6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>
      <x:c r="A223" s="3" t="str">
        <x:v>Nguồn</x:v>
      </x:c>
      <x:c r="B223" s="14" t="str">
        <x:v>SmartLease_AI_Test_Cases_Sprint_2.xlsx (Tong quan, Test cases, Loi); Test Plan Sprint 2 v1.0. Sao chép số liệu theo bản nguồn ngày 03/10/2026.</x:v>
      </x:c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>
      <x:c r="A224" s="3" t="str">
        <x:v>Thêm dòng</x:v>
      </x:c>
      <x:c r="B224" s="14" t="str">
        <x:v>Khi thêm ca/lỗi, mở rộng vùng công thức tổng hợp tương ứng. Mã ca và mã lỗi phải duy nhất.</x:v>
      </x:c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>
      <x:c r="A228" s="5" t="str">
        <x:v>Kết quả đánh giá AI</x:v>
      </x:c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 ht="34" customHeight="1">
      <x:c r="A231" s="10" t="str">
        <x:v>Mã mẫu</x:v>
      </x:c>
      <x:c r="B231" s="10" t="str">
        <x:v>Mô tả đầu vào</x:v>
      </x:c>
      <x:c r="C231" s="10" t="str">
        <x:v>Nhãn chuẩn đề xuất</x:v>
      </x:c>
      <x:c r="D231" s="10" t="str">
        <x:v>Nhãn không được sinh</x:v>
      </x:c>
      <x:c r="E231" s="10" t="str">
        <x:v>Duyệt nhãn</x:v>
      </x:c>
      <x:c r="F231" s="10" t="str">
        <x:v>Thẻ thực tế</x:v>
      </x:c>
      <x:c r="G231" s="10" t="str">
        <x:v>TP</x:v>
      </x:c>
      <x:c r="H231" s="10" t="str">
        <x:v>FP</x:v>
      </x:c>
      <x:c r="I231" s="10" t="str">
        <x:v>FN</x:v>
      </x:c>
      <x:c r="J231" s="10" t="str">
        <x:v>Bằng chứng</x:v>
      </x:c>
      <x:c r="K231" s="10" t="str">
        <x:v>Ghi chú</x:v>
      </x:c>
      <x:c r="L231" s="3"/>
      <x:c r="M231" s="3"/>
    </x:row>
    <x:row r="232" ht="80" customHeight="1">
      <x:c r="A232" s="3" t="str">
        <x:v>AI-01</x:v>
      </x:c>
      <x:c r="B232" s="3" t="str">
        <x:v>Căn hộ có ban công.</x:v>
      </x:c>
      <x:c r="C232" s="3" t="str">
        <x:v>ban công</x:v>
      </x:c>
      <x:c r="D232" s="3" t="str">
        <x:v>(không có nhãn cấm riêng)</x:v>
      </x:c>
      <x:c r="E232" s="6" t="str">
        <x:v>Chưa duyệt</x:v>
      </x:c>
      <x:c r="F232" s="6" t="str"/>
      <x:c r="G232" s="6"/>
      <x:c r="H232" s="6"/>
      <x:c r="I232" s="6"/>
      <x:c r="J232" s="6" t="str"/>
      <x:c r="K232" s="6" t="str"/>
      <x:c r="L232" s="3"/>
      <x:c r="M232" s="3"/>
    </x:row>
    <x:row r="233" ht="80" customHeight="1">
      <x:c r="A233" s="3" t="str">
        <x:v>AI-02</x:v>
      </x:c>
      <x:c r="B233" s="3" t="str">
        <x:v>Căn hộ lát sàn gỗ.</x:v>
      </x:c>
      <x:c r="C233" s="3" t="str">
        <x:v>sàn gỗ</x:v>
      </x:c>
      <x:c r="D233" s="3" t="str">
        <x:v>(không có nhãn cấm riêng)</x:v>
      </x:c>
      <x:c r="E233" s="6" t="str">
        <x:v>Chưa duyệt</x:v>
      </x:c>
      <x:c r="F233" s="6" t="str"/>
      <x:c r="G233" s="6"/>
      <x:c r="H233" s="6"/>
      <x:c r="I233" s="6"/>
      <x:c r="J233" s="6" t="str"/>
      <x:c r="K233" s="6" t="str"/>
      <x:c r="L233" s="3"/>
      <x:c r="M233" s="3"/>
    </x:row>
    <x:row r="234" ht="80" customHeight="1">
      <x:c r="A234" s="3" t="str">
        <x:v>AI-03</x:v>
      </x:c>
      <x:c r="B234" s="3" t="str">
        <x:v>Căn hộ có 2 phòng ngủ.</x:v>
      </x:c>
      <x:c r="C234" s="3" t="str">
        <x:v>2 phòng ngủ</x:v>
      </x:c>
      <x:c r="D234" s="3" t="str">
        <x:v>(không có nhãn cấm riêng)</x:v>
      </x:c>
      <x:c r="E234" s="6" t="str">
        <x:v>Chưa duyệt</x:v>
      </x:c>
      <x:c r="F234" s="6" t="str"/>
      <x:c r="G234" s="6"/>
      <x:c r="H234" s="6"/>
      <x:c r="I234" s="6"/>
      <x:c r="J234" s="6" t="str"/>
      <x:c r="K234" s="6" t="str"/>
      <x:c r="L234" s="3"/>
      <x:c r="M234" s="3"/>
    </x:row>
    <x:row r="235" ht="80" customHeight="1">
      <x:c r="A235" s="3" t="str">
        <x:v>AI-04</x:v>
      </x:c>
      <x:c r="B235" s="3" t="str">
        <x:v>Căn hộ có điều hòa.</x:v>
      </x:c>
      <x:c r="C235" s="3" t="str">
        <x:v>điều hòa</x:v>
      </x:c>
      <x:c r="D235" s="3" t="str">
        <x:v>(không có nhãn cấm riêng)</x:v>
      </x:c>
      <x:c r="E235" s="6" t="str">
        <x:v>Chưa duyệt</x:v>
      </x:c>
      <x:c r="F235" s="6" t="str"/>
      <x:c r="G235" s="6"/>
      <x:c r="H235" s="6"/>
      <x:c r="I235" s="6"/>
      <x:c r="J235" s="6" t="str"/>
      <x:c r="K235" s="6" t="str"/>
      <x:c r="L235" s="3"/>
      <x:c r="M235" s="3"/>
    </x:row>
    <x:row r="236" ht="80" customHeight="1">
      <x:c r="A236" s="3" t="str">
        <x:v>AI-05</x:v>
      </x:c>
      <x:c r="B236" s="3" t="str">
        <x:v>Căn hộ có thang máy.</x:v>
      </x:c>
      <x:c r="C236" s="3" t="str">
        <x:v>thang máy</x:v>
      </x:c>
      <x:c r="D236" s="3" t="str">
        <x:v>(không có nhãn cấm riêng)</x:v>
      </x:c>
      <x:c r="E236" s="6" t="str">
        <x:v>Chưa duyệt</x:v>
      </x:c>
      <x:c r="F236" s="6" t="str"/>
      <x:c r="G236" s="6"/>
      <x:c r="H236" s="6"/>
      <x:c r="I236" s="6"/>
      <x:c r="J236" s="6" t="str"/>
      <x:c r="K236" s="6" t="str"/>
      <x:c r="L236" s="3"/>
      <x:c r="M236" s="3"/>
    </x:row>
    <x:row r="237" ht="80" customHeight="1">
      <x:c r="A237" s="3" t="str">
        <x:v>AI-06</x:v>
      </x:c>
      <x:c r="B237" s="3" t="str">
        <x:v>Căn hộ có chỗ để xe.</x:v>
      </x:c>
      <x:c r="C237" s="3" t="str">
        <x:v>chỗ để xe</x:v>
      </x:c>
      <x:c r="D237" s="3" t="str">
        <x:v>(không có nhãn cấm riêng)</x:v>
      </x:c>
      <x:c r="E237" s="6" t="str">
        <x:v>Chưa duyệt</x:v>
      </x:c>
      <x:c r="F237" s="6" t="str"/>
      <x:c r="G237" s="6"/>
      <x:c r="H237" s="6"/>
      <x:c r="I237" s="6"/>
      <x:c r="J237" s="6" t="str"/>
      <x:c r="K237" s="6" t="str"/>
      <x:c r="L237" s="3"/>
      <x:c r="M237" s="3"/>
    </x:row>
    <x:row r="238" ht="80" customHeight="1">
      <x:c r="A238" s="3" t="str">
        <x:v>AI-07</x:v>
      </x:c>
      <x:c r="B238" s="3" t="str">
        <x:v>Căn hộ có máy giặt.</x:v>
      </x:c>
      <x:c r="C238" s="3" t="str">
        <x:v>máy giặt</x:v>
      </x:c>
      <x:c r="D238" s="3" t="str">
        <x:v>(không có nhãn cấm riêng)</x:v>
      </x:c>
      <x:c r="E238" s="6" t="str">
        <x:v>Chưa duyệt</x:v>
      </x:c>
      <x:c r="F238" s="6" t="str"/>
      <x:c r="G238" s="6"/>
      <x:c r="H238" s="6"/>
      <x:c r="I238" s="6"/>
      <x:c r="J238" s="6" t="str"/>
      <x:c r="K238" s="6" t="str"/>
      <x:c r="L238" s="3"/>
      <x:c r="M238" s="3"/>
    </x:row>
    <x:row r="239" ht="80" customHeight="1">
      <x:c r="A239" s="3" t="str">
        <x:v>AI-08</x:v>
      </x:c>
      <x:c r="B239" s="3" t="str">
        <x:v>Căn hộ có tủ lạnh.</x:v>
      </x:c>
      <x:c r="C239" s="3" t="str">
        <x:v>tủ lạnh</x:v>
      </x:c>
      <x:c r="D239" s="3" t="str">
        <x:v>(không có nhãn cấm riêng)</x:v>
      </x:c>
      <x:c r="E239" s="6" t="str">
        <x:v>Chưa duyệt</x:v>
      </x:c>
      <x:c r="F239" s="6" t="str"/>
      <x:c r="G239" s="6"/>
      <x:c r="H239" s="6"/>
      <x:c r="I239" s="6"/>
      <x:c r="J239" s="6" t="str"/>
      <x:c r="K239" s="6" t="str"/>
      <x:c r="L239" s="3"/>
      <x:c r="M239" s="3"/>
    </x:row>
    <x:row r="240" ht="80" customHeight="1">
      <x:c r="A240" s="3" t="str">
        <x:v>AI-09</x:v>
      </x:c>
      <x:c r="B240" s="3" t="str">
        <x:v>Căn hộ có bếp riêng.</x:v>
      </x:c>
      <x:c r="C240" s="3" t="str">
        <x:v>bếp riêng</x:v>
      </x:c>
      <x:c r="D240" s="3" t="str">
        <x:v>(không có nhãn cấm riêng)</x:v>
      </x:c>
      <x:c r="E240" s="6" t="str">
        <x:v>Chưa duyệt</x:v>
      </x:c>
      <x:c r="F240" s="6" t="str"/>
      <x:c r="G240" s="6"/>
      <x:c r="H240" s="6"/>
      <x:c r="I240" s="6"/>
      <x:c r="J240" s="6" t="str"/>
      <x:c r="K240" s="6" t="str"/>
      <x:c r="L240" s="3"/>
      <x:c r="M240" s="3"/>
    </x:row>
    <x:row r="241" ht="80" customHeight="1">
      <x:c r="A241" s="3" t="str">
        <x:v>AI-10</x:v>
      </x:c>
      <x:c r="B241" s="3" t="str">
        <x:v>Căn hộ được phép nuôi thú cưng.</x:v>
      </x:c>
      <x:c r="C241" s="3" t="str">
        <x:v>cho phép thú cưng</x:v>
      </x:c>
      <x:c r="D241" s="3" t="str">
        <x:v>(không có nhãn cấm riêng)</x:v>
      </x:c>
      <x:c r="E241" s="6" t="str">
        <x:v>Chưa duyệt</x:v>
      </x:c>
      <x:c r="F241" s="6" t="str"/>
      <x:c r="G241" s="6"/>
      <x:c r="H241" s="6"/>
      <x:c r="I241" s="6"/>
      <x:c r="J241" s="6" t="str"/>
      <x:c r="K241" s="6" t="str"/>
      <x:c r="L241" s="3"/>
      <x:c r="M241" s="3"/>
    </x:row>
    <x:row r="242" ht="80" customHeight="1">
      <x:c r="A242" s="3" t="str">
        <x:v>AI-11</x:v>
      </x:c>
      <x:c r="B242" s="3" t="str">
        <x:v>Căn hộ không có ban công.</x:v>
      </x:c>
      <x:c r="C242" s="3" t="str">
        <x:v>(không có nhãn đặc điểm khẳng định)</x:v>
      </x:c>
      <x:c r="D242" s="3" t="str">
        <x:v>ban công</x:v>
      </x:c>
      <x:c r="E242" s="6" t="str">
        <x:v>Chưa duyệt</x:v>
      </x:c>
      <x:c r="F242" s="6" t="str"/>
      <x:c r="G242" s="6"/>
      <x:c r="H242" s="6"/>
      <x:c r="I242" s="6"/>
      <x:c r="J242" s="6" t="str"/>
      <x:c r="K242" s="6" t="str"/>
      <x:c r="L242" s="3"/>
      <x:c r="M242" s="3"/>
    </x:row>
    <x:row r="243" ht="80" customHeight="1">
      <x:c r="A243" s="3" t="str">
        <x:v>AI-12</x:v>
      </x:c>
      <x:c r="B243" s="3" t="str">
        <x:v>Căn hộ không có thang máy.</x:v>
      </x:c>
      <x:c r="C243" s="3" t="str">
        <x:v>(không có nhãn đặc điểm khẳng định)</x:v>
      </x:c>
      <x:c r="D243" s="3" t="str">
        <x:v>thang máy</x:v>
      </x:c>
      <x:c r="E243" s="6" t="str">
        <x:v>Chưa duyệt</x:v>
      </x:c>
      <x:c r="F243" s="6" t="str"/>
      <x:c r="G243" s="6"/>
      <x:c r="H243" s="6"/>
      <x:c r="I243" s="6"/>
      <x:c r="J243" s="6" t="str"/>
      <x:c r="K243" s="6" t="str"/>
      <x:c r="L243" s="3"/>
      <x:c r="M243" s="3"/>
    </x:row>
    <x:row r="244" ht="80" customHeight="1">
      <x:c r="A244" s="3" t="str">
        <x:v>AI-13</x:v>
      </x:c>
      <x:c r="B244" s="3" t="str">
        <x:v>Căn hộ không có điều hòa.</x:v>
      </x:c>
      <x:c r="C244" s="3" t="str">
        <x:v>(không có nhãn đặc điểm khẳng định)</x:v>
      </x:c>
      <x:c r="D244" s="3" t="str">
        <x:v>điều hòa</x:v>
      </x:c>
      <x:c r="E244" s="6" t="str">
        <x:v>Chưa duyệt</x:v>
      </x:c>
      <x:c r="F244" s="6" t="str"/>
      <x:c r="G244" s="6"/>
      <x:c r="H244" s="6"/>
      <x:c r="I244" s="6"/>
      <x:c r="J244" s="6" t="str"/>
      <x:c r="K244" s="6" t="str"/>
      <x:c r="L244" s="3"/>
      <x:c r="M244" s="3"/>
    </x:row>
    <x:row r="245" ht="80" customHeight="1">
      <x:c r="A245" s="3" t="str">
        <x:v>AI-14</x:v>
      </x:c>
      <x:c r="B245" s="3" t="str">
        <x:v>Căn hộ không cho nuôi thú cưng.</x:v>
      </x:c>
      <x:c r="C245" s="3" t="str">
        <x:v>(không có nhãn đặc điểm khẳng định)</x:v>
      </x:c>
      <x:c r="D245" s="3" t="str">
        <x:v>cho phép thú cưng</x:v>
      </x:c>
      <x:c r="E245" s="6" t="str">
        <x:v>Chưa duyệt</x:v>
      </x:c>
      <x:c r="F245" s="6" t="str"/>
      <x:c r="G245" s="6"/>
      <x:c r="H245" s="6"/>
      <x:c r="I245" s="6"/>
      <x:c r="J245" s="6" t="str"/>
      <x:c r="K245" s="6" t="str"/>
      <x:c r="L245" s="3"/>
      <x:c r="M245" s="3"/>
    </x:row>
    <x:row r="246" ht="80" customHeight="1">
      <x:c r="A246" s="3" t="str">
        <x:v>AI-15</x:v>
      </x:c>
      <x:c r="B246" s="3" t="str">
        <x:v>Không có chỗ để xe tại căn hộ.</x:v>
      </x:c>
      <x:c r="C246" s="3" t="str">
        <x:v>(không có nhãn đặc điểm khẳng định)</x:v>
      </x:c>
      <x:c r="D246" s="3" t="str">
        <x:v>chỗ để xe</x:v>
      </x:c>
      <x:c r="E246" s="6" t="str">
        <x:v>Chưa duyệt</x:v>
      </x:c>
      <x:c r="F246" s="6" t="str"/>
      <x:c r="G246" s="6"/>
      <x:c r="H246" s="6"/>
      <x:c r="I246" s="6"/>
      <x:c r="J246" s="6" t="str"/>
      <x:c r="K246" s="6" t="str"/>
      <x:c r="L246" s="3"/>
      <x:c r="M246" s="3"/>
    </x:row>
    <x:row r="247" ht="80" customHeight="1">
      <x:c r="A247" s="3" t="str">
        <x:v>AI-16</x:v>
      </x:c>
      <x:c r="B247" s="3" t="str">
        <x:v>Có ban công và sàn gỗ.</x:v>
      </x:c>
      <x:c r="C247" s="3" t="str">
        <x:v>ban công; sàn gỗ</x:v>
      </x:c>
      <x:c r="D247" s="3" t="str">
        <x:v>(không có nhãn cấm riêng)</x:v>
      </x:c>
      <x:c r="E247" s="6" t="str">
        <x:v>Chưa duyệt</x:v>
      </x:c>
      <x:c r="F247" s="6" t="str"/>
      <x:c r="G247" s="6"/>
      <x:c r="H247" s="6"/>
      <x:c r="I247" s="6"/>
      <x:c r="J247" s="6" t="str"/>
      <x:c r="K247" s="6" t="str"/>
      <x:c r="L247" s="3"/>
      <x:c r="M247" s="3"/>
    </x:row>
    <x:row r="248" ht="80" customHeight="1">
      <x:c r="A248" s="3" t="str">
        <x:v>AI-17</x:v>
      </x:c>
      <x:c r="B248" s="3" t="str">
        <x:v>Có 2 phòng ngủ và điều hòa.</x:v>
      </x:c>
      <x:c r="C248" s="3" t="str">
        <x:v>2 phòng ngủ; điều hòa</x:v>
      </x:c>
      <x:c r="D248" s="3" t="str">
        <x:v>(không có nhãn cấm riêng)</x:v>
      </x:c>
      <x:c r="E248" s="6" t="str">
        <x:v>Chưa duyệt</x:v>
      </x:c>
      <x:c r="F248" s="6" t="str"/>
      <x:c r="G248" s="6"/>
      <x:c r="H248" s="6"/>
      <x:c r="I248" s="6"/>
      <x:c r="J248" s="6" t="str"/>
      <x:c r="K248" s="6" t="str"/>
      <x:c r="L248" s="3"/>
      <x:c r="M248" s="3"/>
    </x:row>
    <x:row r="249" ht="80" customHeight="1">
      <x:c r="A249" s="3" t="str">
        <x:v>AI-18</x:v>
      </x:c>
      <x:c r="B249" s="3" t="str">
        <x:v>Có thang máy và chỗ để xe.</x:v>
      </x:c>
      <x:c r="C249" s="3" t="str">
        <x:v>thang máy; chỗ để xe</x:v>
      </x:c>
      <x:c r="D249" s="3" t="str">
        <x:v>(không có nhãn cấm riêng)</x:v>
      </x:c>
      <x:c r="E249" s="6" t="str">
        <x:v>Chưa duyệt</x:v>
      </x:c>
      <x:c r="F249" s="6" t="str"/>
      <x:c r="G249" s="6"/>
      <x:c r="H249" s="6"/>
      <x:c r="I249" s="6"/>
      <x:c r="J249" s="6" t="str"/>
      <x:c r="K249" s="6" t="str"/>
      <x:c r="L249" s="3"/>
      <x:c r="M249" s="3"/>
    </x:row>
    <x:row r="250" ht="80" customHeight="1">
      <x:c r="A250" s="3" t="str">
        <x:v>AI-19</x:v>
      </x:c>
      <x:c r="B250" s="3" t="str">
        <x:v>Có máy giặt và tủ lạnh.</x:v>
      </x:c>
      <x:c r="C250" s="3" t="str">
        <x:v>máy giặt; tủ lạnh</x:v>
      </x:c>
      <x:c r="D250" s="3" t="str">
        <x:v>(không có nhãn cấm riêng)</x:v>
      </x:c>
      <x:c r="E250" s="6" t="str">
        <x:v>Chưa duyệt</x:v>
      </x:c>
      <x:c r="F250" s="6" t="str"/>
      <x:c r="G250" s="6"/>
      <x:c r="H250" s="6"/>
      <x:c r="I250" s="6"/>
      <x:c r="J250" s="6" t="str"/>
      <x:c r="K250" s="6" t="str"/>
      <x:c r="L250" s="3"/>
      <x:c r="M250" s="3"/>
    </x:row>
    <x:row r="251" ht="80" customHeight="1">
      <x:c r="A251" s="3" t="str">
        <x:v>AI-20</x:v>
      </x:c>
      <x:c r="B251" s="3" t="str">
        <x:v>Có bếp riêng nhưng không có ban công.</x:v>
      </x:c>
      <x:c r="C251" s="3" t="str">
        <x:v>bếp riêng</x:v>
      </x:c>
      <x:c r="D251" s="3" t="str">
        <x:v>ban công</x:v>
      </x:c>
      <x:c r="E251" s="6" t="str">
        <x:v>Chưa duyệt</x:v>
      </x:c>
      <x:c r="F251" s="6" t="str"/>
      <x:c r="G251" s="6"/>
      <x:c r="H251" s="6"/>
      <x:c r="I251" s="6"/>
      <x:c r="J251" s="6" t="str"/>
      <x:c r="K251" s="6" t="str"/>
      <x:c r="L251" s="3"/>
      <x:c r="M251" s="3"/>
    </x:row>
    <x:row r="252" ht="80" customHeight="1">
      <x:c r="A252" s="3" t="str">
        <x:v>AI-21</x:v>
      </x:c>
      <x:c r="B252" s="3" t="str">
        <x:v>Có ban công. Ban công rộng. Ban công thoáng.</x:v>
      </x:c>
      <x:c r="C252" s="3" t="str">
        <x:v>ban công</x:v>
      </x:c>
      <x:c r="D252" s="3" t="str">
        <x:v>thẻ ban công trùng</x:v>
      </x:c>
      <x:c r="E252" s="6" t="str">
        <x:v>Chưa duyệt</x:v>
      </x:c>
      <x:c r="F252" s="6" t="str"/>
      <x:c r="G252" s="6"/>
      <x:c r="H252" s="6"/>
      <x:c r="I252" s="6"/>
      <x:c r="J252" s="6" t="str"/>
      <x:c r="K252" s="6" t="str"/>
      <x:c r="L252" s="3"/>
      <x:c r="M252" s="3"/>
    </x:row>
    <x:row r="253" ht="80" customHeight="1">
      <x:c r="A253" s="3" t="str">
        <x:v>AI-22</x:v>
      </x:c>
      <x:c r="B253" s="3" t="str">
        <x:v>Có máy lạnh trong phòng.</x:v>
      </x:c>
      <x:c r="C253" s="3" t="str">
        <x:v>điều hòa</x:v>
      </x:c>
      <x:c r="D253" s="3" t="str">
        <x:v>(không có nhãn cấm riêng)</x:v>
      </x:c>
      <x:c r="E253" s="6" t="str">
        <x:v>Chưa duyệt</x:v>
      </x:c>
      <x:c r="F253" s="6" t="str"/>
      <x:c r="G253" s="6"/>
      <x:c r="H253" s="6"/>
      <x:c r="I253" s="6"/>
      <x:c r="J253" s="6" t="str"/>
      <x:c r="K253" s="6" t="str"/>
      <x:c r="L253" s="3"/>
      <x:c r="M253" s="3"/>
    </x:row>
    <x:row r="254" ht="80" customHeight="1">
      <x:c r="A254" s="3" t="str">
        <x:v>AI-23</x:v>
      </x:c>
      <x:c r="B254" s="3" t="str">
        <x:v>Căn hộ gồm hai phòng ngủ.</x:v>
      </x:c>
      <x:c r="C254" s="3" t="str">
        <x:v>2 phòng ngủ</x:v>
      </x:c>
      <x:c r="D254" s="3" t="str">
        <x:v>(không có nhãn cấm riêng)</x:v>
      </x:c>
      <x:c r="E254" s="6" t="str">
        <x:v>Chưa duyệt</x:v>
      </x:c>
      <x:c r="F254" s="6" t="str"/>
      <x:c r="G254" s="6"/>
      <x:c r="H254" s="6"/>
      <x:c r="I254" s="6"/>
      <x:c r="J254" s="6" t="str"/>
      <x:c r="K254" s="6" t="str"/>
      <x:c r="L254" s="3"/>
      <x:c r="M254" s="3"/>
    </x:row>
    <x:row r="255" ht="80" customHeight="1">
      <x:c r="A255" s="3" t="str">
        <x:v>AI-24</x:v>
      </x:c>
      <x:c r="B255" s="3" t="str">
        <x:v>BAN CÔNG RỘNG, SÀN GỖ.</x:v>
      </x:c>
      <x:c r="C255" s="3" t="str">
        <x:v>ban công; sàn gỗ</x:v>
      </x:c>
      <x:c r="D255" s="3" t="str">
        <x:v>(không có nhãn cấm riêng)</x:v>
      </x:c>
      <x:c r="E255" s="6" t="str">
        <x:v>Chưa duyệt</x:v>
      </x:c>
      <x:c r="F255" s="6" t="str"/>
      <x:c r="G255" s="6"/>
      <x:c r="H255" s="6"/>
      <x:c r="I255" s="6"/>
      <x:c r="J255" s="6" t="str"/>
      <x:c r="K255" s="6" t="str"/>
      <x:c r="L255" s="3"/>
      <x:c r="M255" s="3"/>
    </x:row>
    <x:row r="256" ht="80" customHeight="1">
      <x:c r="A256" s="3" t="str">
        <x:v>AI-25</x:v>
      </x:c>
      <x:c r="B256" s="3" t="str">
        <x:v>  Căn hộ có ban công.  </x:v>
      </x:c>
      <x:c r="C256" s="3" t="str">
        <x:v>ban công</x:v>
      </x:c>
      <x:c r="D256" s="3" t="str">
        <x:v>(không có nhãn cấm riêng)</x:v>
      </x:c>
      <x:c r="E256" s="6" t="str">
        <x:v>Chưa duyệt</x:v>
      </x:c>
      <x:c r="F256" s="6" t="str"/>
      <x:c r="G256" s="6"/>
      <x:c r="H256" s="6"/>
      <x:c r="I256" s="6"/>
      <x:c r="J256" s="6" t="str"/>
      <x:c r="K256" s="6" t="str"/>
      <x:c r="L256" s="3"/>
      <x:c r="M256" s="3"/>
    </x:row>
    <x:row r="257" ht="80" customHeight="1">
      <x:c r="A257" s="3" t="str">
        <x:v>AI-26</x:v>
      </x:c>
      <x:c r="B257" s="3" t="str">
        <x:v>Cho thuê căn hộ. Liên hệ xem nhà.</x:v>
      </x:c>
      <x:c r="C257" s="3" t="str">
        <x:v>(không có nhãn đặc điểm khẳng định)</x:v>
      </x:c>
      <x:c r="D257" s="3" t="str">
        <x:v>ban công; thang máy; điều hòa</x:v>
      </x:c>
      <x:c r="E257" s="6" t="str">
        <x:v>Chưa duyệt</x:v>
      </x:c>
      <x:c r="F257" s="6" t="str"/>
      <x:c r="G257" s="6"/>
      <x:c r="H257" s="6"/>
      <x:c r="I257" s="6"/>
      <x:c r="J257" s="6" t="str"/>
      <x:c r="K257" s="6" t="str"/>
      <x:c r="L257" s="3"/>
      <x:c r="M257" s="3"/>
    </x:row>
    <x:row r="258" ht="80" customHeight="1">
      <x:c r="A258" s="3" t="str">
        <x:v>AI-27</x:v>
      </x:c>
      <x:c r="B258" s="3" t="str">
        <x:v>Có ban công nhưng không có máy giặt.</x:v>
      </x:c>
      <x:c r="C258" s="3" t="str">
        <x:v>ban công</x:v>
      </x:c>
      <x:c r="D258" s="3" t="str">
        <x:v>máy giặt</x:v>
      </x:c>
      <x:c r="E258" s="6" t="str">
        <x:v>Chưa duyệt</x:v>
      </x:c>
      <x:c r="F258" s="6" t="str"/>
      <x:c r="G258" s="6"/>
      <x:c r="H258" s="6"/>
      <x:c r="I258" s="6"/>
      <x:c r="J258" s="6" t="str"/>
      <x:c r="K258" s="6" t="str"/>
      <x:c r="L258" s="3"/>
      <x:c r="M258" s="3"/>
    </x:row>
    <x:row r="259" ht="80" customHeight="1">
      <x:c r="A259" s="3" t="str">
        <x:v>AI-28</x:v>
      </x:c>
      <x:c r="B259" s="3" t="str">
        <x:v>Có thang máy nhưng không có chỗ để xe.</x:v>
      </x:c>
      <x:c r="C259" s="3" t="str">
        <x:v>thang máy</x:v>
      </x:c>
      <x:c r="D259" s="3" t="str">
        <x:v>chỗ để xe</x:v>
      </x:c>
      <x:c r="E259" s="6" t="str">
        <x:v>Chưa duyệt</x:v>
      </x:c>
      <x:c r="F259" s="6" t="str"/>
      <x:c r="G259" s="6"/>
      <x:c r="H259" s="6"/>
      <x:c r="I259" s="6"/>
      <x:c r="J259" s="6" t="str"/>
      <x:c r="K259" s="6" t="str"/>
      <x:c r="L259" s="3"/>
      <x:c r="M259" s="3"/>
    </x:row>
    <x:row r="260" ht="80" customHeight="1">
      <x:c r="A260" s="3" t="str">
        <x:v>AI-29</x:v>
      </x:c>
      <x:c r="B260" s="3" t="str">
        <x:v>Có 1 phòng ngủ, không phải 2 phòng ngủ.</x:v>
      </x:c>
      <x:c r="C260" s="3" t="str">
        <x:v>1 phòng ngủ</x:v>
      </x:c>
      <x:c r="D260" s="3" t="str">
        <x:v>2 phòng ngủ</x:v>
      </x:c>
      <x:c r="E260" s="6" t="str">
        <x:v>Chưa duyệt</x:v>
      </x:c>
      <x:c r="F260" s="6" t="str"/>
      <x:c r="G260" s="6"/>
      <x:c r="H260" s="6"/>
      <x:c r="I260" s="6"/>
      <x:c r="J260" s="6" t="str"/>
      <x:c r="K260" s="6" t="str"/>
      <x:c r="L260" s="3"/>
      <x:c r="M260" s="3"/>
    </x:row>
    <x:row r="261" ht="80" customHeight="1">
      <x:c r="A261" s="3" t="str">
        <x:v>AI-30</x:v>
      </x:c>
      <x:c r="B261" s="3" t="str">
        <x:v>Căn hộ có bếp riêng, tủ lạnh và máy giặt.</x:v>
      </x:c>
      <x:c r="C261" s="3" t="str">
        <x:v>bếp riêng; tủ lạnh; máy giặt</x:v>
      </x:c>
      <x:c r="D261" s="3" t="str">
        <x:v>(không có nhãn cấm riêng)</x:v>
      </x:c>
      <x:c r="E261" s="6" t="str">
        <x:v>Chưa duyệt</x:v>
      </x:c>
      <x:c r="F261" s="6" t="str"/>
      <x:c r="G261" s="6"/>
      <x:c r="H261" s="6"/>
      <x:c r="I261" s="6"/>
      <x:c r="J261" s="6" t="str"/>
      <x:c r="K261" s="6" t="str"/>
      <x:c r="L261" s="3"/>
      <x:c r="M261" s="3"/>
    </x:row>
    <x:row r="262">
      <x:c r="A262" s="3"/>
      <x:c r="B262" s="3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</x:row>
    <x:row r="263">
      <x:c r="A263" s="3"/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</x:row>
    <x:row r="264">
      <x:c r="A264" s="3"/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</x:row>
    <x:row r="265">
      <x:c r="A265" s="3"/>
      <x:c r="B265" s="3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</x:row>
  </x:sheetData>
  <x:conditionalFormatting sqref="E54:E195">
    <x:cfRule type="containsText" dxfId="3" priority="1" operator="containsText" text="Fail"/>
    <x:cfRule type="containsText" dxfId="4" priority="2" operator="containsText" text="Blocked"/>
    <x:cfRule type="containsText" dxfId="5" priority="3" operator="containsText" text="Pass"/>
  </x:conditionalFormatting>
  <x:dataValidations count="7">
    <x:dataValidation type="list" sqref="E20">
      <x:formula1>"Chưa đánh giá,Chưa đạt,Đạt có điều kiện,Đạt"</x:formula1>
    </x:dataValidation>
    <x:dataValidation type="list" sqref="E54:E195">
      <x:formula1>"Not Run,Pass,Fail,Blocked,N/A"</x:formula1>
    </x:dataValidation>
    <x:dataValidation type="list" sqref="K54:K195">
      <x:formula1>"Chưa retest,Pass,Fail,Blocked,N/A"</x:formula1>
    </x:dataValidation>
    <x:dataValidation type="list" sqref="D202:D221">
      <x:formula1>"Nghiêm trọng,Lớn,Vừa,Nhỏ"</x:formula1>
    </x:dataValidation>
    <x:dataValidation type="list" sqref="H202:H221">
      <x:formula1>"Mới,Đã xác nhận,Đang sửa,Chờ kiểm thử lại,Đóng,Mở lại"</x:formula1>
    </x:dataValidation>
    <x:dataValidation type="list" sqref="E232:E261">
      <x:formula1>"Chưa duyệt,Đã duyệt"</x:formula1>
    </x:dataValidation>
    <x:dataValidation type="whole" operator="greaterThanOrEqual" sqref="G232:I261">
      <x:formula1>0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4720a9ceb8fb43d6"/>
    <x:tablePart xmlns:r="http://schemas.openxmlformats.org/officeDocument/2006/relationships" r:id="Rd9170cb07fc74f6f"/>
    <x:tablePart xmlns:r="http://schemas.openxmlformats.org/officeDocument/2006/relationships" r:id="R69116f38a62e471b"/>
  </x:tableParts>
</x:worksheet>
</file>

<file path=xl/worksheets/sheet3.xml><?xml version="1.0" encoding="utf-8"?>
<x:worksheet xmlns:x="http://schemas.openxmlformats.org/spreadsheetml/2006/main">
  <x:sheetPr>
    <x:tabColor rgb="FF263E63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30" hidden="0" customWidth="1"/>
    <x:col min="2" max="2" width="32" hidden="0" customWidth="1"/>
    <x:col min="3" max="3" width="47" hidden="0" customWidth="1"/>
    <x:col min="4" max="4" width="30" hidden="0" customWidth="1"/>
    <x:col min="5" max="5" width="24" hidden="0" customWidth="1"/>
    <x:col min="6" max="6" width="50" hidden="0" customWidth="1"/>
    <x:col min="7" max="7" width="22" hidden="0" customWidth="1"/>
    <x:col min="8" max="8" width="63" hidden="0" customWidth="1"/>
    <x:col min="9" max="9" width="28" hidden="0" customWidth="1"/>
    <x:col min="10" max="10" width="24" hidden="0" customWidth="1"/>
    <x:col min="11" max="11" width="32" hidden="0" customWidth="1"/>
    <x:col min="12" max="12" width="32" hidden="0" customWidth="1"/>
    <x:col min="13" max="13" width="2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5" t="str">
        <x:v>SMARTLEASE AI – TEST REPORT SPRINT 3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0" customHeight="1">
      <x:c r="A4" s="3" t="str">
        <x:v>Người kiểm thử</x:v>
      </x:c>
      <x:c r="B4" s="3" t="str">
        <x:v>Hoàng Đại Hợp</x:v>
      </x:c>
      <x:c r="C4" s="3"/>
      <x:c r="D4" s="3" t="str">
        <x:v>Từ ngày thực hiện</x:v>
      </x:c>
      <x:c r="E4" s="7"/>
      <x:c r="F4" s="3"/>
      <x:c r="G4" s="3"/>
      <x:c r="H4" s="3"/>
      <x:c r="I4" s="3"/>
      <x:c r="J4" s="3"/>
      <x:c r="K4" s="3"/>
      <x:c r="L4" s="3"/>
      <x:c r="M4" s="3"/>
    </x:row>
    <x:row r="5" ht="30" customHeight="1">
      <x:c r="A5" s="3" t="str">
        <x:v>Môi trường</x:v>
      </x:c>
      <x:c r="B5" s="3" t="str">
        <x:v>Localhost</x:v>
      </x:c>
      <x:c r="C5" s="3"/>
      <x:c r="D5" s="3" t="str">
        <x:v>Đến ngày thực hiện</x:v>
      </x:c>
      <x:c r="E5" s="7"/>
      <x:c r="F5" s="3"/>
      <x:c r="G5" s="3"/>
      <x:c r="H5" s="3"/>
      <x:c r="I5" s="3"/>
      <x:c r="J5" s="3"/>
      <x:c r="K5" s="3"/>
      <x:c r="L5" s="3"/>
      <x:c r="M5" s="3"/>
    </x:row>
    <x:row r="6" ht="30" customHeight="1">
      <x:c r="A6" s="3" t="str">
        <x:v>Sprint theo kế hoạch</x:v>
      </x:c>
      <x:c r="B6" s="3" t="str">
        <x:v>01/10–12/10/2026</x:v>
      </x:c>
      <x:c r="C6" s="3"/>
      <x:c r="D6" s="3" t="str">
        <x:v>Build/commit</x:v>
      </x:c>
      <x:c r="E6" s="6" t="str"/>
      <x:c r="F6" s="3"/>
      <x:c r="G6" s="3"/>
      <x:c r="H6" s="3"/>
      <x:c r="I6" s="3"/>
      <x:c r="J6" s="3"/>
      <x:c r="K6" s="3"/>
      <x:c r="L6" s="3"/>
      <x:c r="M6" s="3"/>
    </x:row>
    <x:row r="7" ht="30" customHeight="1">
      <x:c r="A7" s="3" t="str">
        <x:v>Nguồn kết quả</x:v>
      </x:c>
      <x:c r="B7" s="3" t="str">
        <x:f>IF(B12=0,"Chưa có ca đã chạy","Kết quả cập nhật trong báo cáo")</x:f>
        <x:v>Chưa có ca đã chạy</x:v>
      </x:c>
      <x:c r="C7" s="3"/>
      <x:c r="D7" s="3" t="str">
        <x:v>Ngày lập báo cáo</x:v>
      </x:c>
      <x:c r="E7" s="7"/>
      <x:c r="F7" s="3"/>
      <x:c r="G7" s="3"/>
      <x:c r="H7" s="3"/>
      <x:c r="I7" s="3"/>
      <x:c r="J7" s="3"/>
      <x:c r="K7" s="3"/>
      <x:c r="L7" s="3"/>
      <x:c r="M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</x:row>
    <x:row r="9" ht="34" customHeight="1">
      <x:c r="A9" s="10" t="str">
        <x:v>KẾT QUẢ KIỂM THỬ</x:v>
      </x:c>
      <x:c r="B9" s="10" t="str">
        <x:v>Số ca / tỷ lệ</x:v>
      </x:c>
      <x:c r="C9" s="3"/>
      <x:c r="D9" s="10" t="str">
        <x:v>ĐIỀU KIỆN VÀ LỖI</x:v>
      </x:c>
      <x:c r="E9" s="10" t="str">
        <x:v>Số ca / trạng thái</x:v>
      </x:c>
      <x:c r="F9" s="3"/>
      <x:c r="G9" s="9" t="str">
        <x:v>HƯỚNG DẪN</x:v>
      </x:c>
      <x:c r="H9" s="9" t="str">
        <x:v>Nội dung</x:v>
      </x:c>
      <x:c r="I9" s="3"/>
      <x:c r="J9" s="3"/>
      <x:c r="K9" s="3"/>
      <x:c r="L9" s="3"/>
      <x:c r="M9" s="3"/>
    </x:row>
    <x:row r="10" ht="38" customHeight="1">
      <x:c r="A10" s="3" t="str">
        <x:v>Tổng ca thiết kế</x:v>
      </x:c>
      <x:c r="B10" s="3" t="n">
        <x:f>COUNTA($A$54:$A$158)</x:f>
        <x:v>105</x:v>
      </x:c>
      <x:c r="C10" s="3"/>
      <x:c r="D10" s="3" t="str">
        <x:v>P1 trong phạm vi</x:v>
      </x:c>
      <x:c r="E10" s="3" t="n">
        <x:f>COUNTIFS($D$54:$D$158,"P1",$E$54:$E$158,"&lt;&gt;N/A")</x:f>
        <x:v>75</x:v>
      </x:c>
      <x:c r="F10" s="3"/>
      <x:c r="G10" s="3" t="str">
        <x:v>Phạm vi</x:v>
      </x:c>
      <x:c r="H10" s="3" t="str">
        <x:v>Báo cáo cho 105 ca trong bộ Test Case Sprint 3.</x:v>
      </x:c>
      <x:c r="I10" s="3"/>
      <x:c r="J10" s="3"/>
      <x:c r="K10" s="3"/>
      <x:c r="L10" s="3"/>
      <x:c r="M10" s="3"/>
    </x:row>
    <x:row r="11" ht="42" customHeight="1">
      <x:c r="A11" s="3" t="str">
        <x:v>Trong phạm vi</x:v>
      </x:c>
      <x:c r="B11" s="3" t="n">
        <x:f>B10-B17</x:f>
        <x:v>105</x:v>
      </x:c>
      <x:c r="C11" s="3"/>
      <x:c r="D11" s="3" t="str">
        <x:v>P1 đã Pass</x:v>
      </x:c>
      <x:c r="E11" s="3" t="n">
        <x:f>COUNTIFS($D$54:$D$158,"P1",$E$54:$E$158,"Pass")</x:f>
        <x:v>0</x:v>
      </x:c>
      <x:c r="F11" s="3"/>
      <x:c r="G11" s="3" t="str">
        <x:v>Cập nhật</x:v>
      </x:c>
      <x:c r="H11" s="3" t="str">
        <x:v>Điền E:M tại bảng kết quả từ dòng 54. Sao chép theo mã ca từ file Test Case; không có liên kết tự động giữa các file.</x:v>
      </x:c>
      <x:c r="I11" s="3"/>
      <x:c r="J11" s="3"/>
      <x:c r="K11" s="3"/>
      <x:c r="L11" s="3"/>
      <x:c r="M11" s="3"/>
    </x:row>
    <x:row r="12" ht="42" customHeight="1">
      <x:c r="A12" s="3" t="str">
        <x:v>Đã chạy (Pass + Fail)</x:v>
      </x:c>
      <x:c r="B12" s="3" t="n">
        <x:f>SUM(B13:B14)</x:f>
        <x:v>0</x:v>
      </x:c>
      <x:c r="C12" s="3"/>
      <x:c r="D12" s="3" t="str">
        <x:v>P1 chưa Pass</x:v>
      </x:c>
      <x:c r="E12" s="3" t="n">
        <x:f>E10-E11</x:f>
        <x:v>75</x:v>
      </x:c>
      <x:c r="F12" s="3"/>
      <x:c r="G12" s="3" t="str">
        <x:v>Trạng thái</x:v>
      </x:c>
      <x:c r="H12" s="3" t="str">
        <x:v>Not Run: chưa chạy; Pass: đúng mọi mong đợi; Fail: kết quả sai; Blocked: chưa thể chạy; N/A: ngoài phạm vi đã xác nhận.</x:v>
      </x:c>
      <x:c r="I12" s="3"/>
      <x:c r="J12" s="3"/>
      <x:c r="K12" s="3"/>
      <x:c r="L12" s="3"/>
      <x:c r="M12" s="3"/>
    </x:row>
    <x:row r="13" ht="42" customHeight="1">
      <x:c r="A13" s="3" t="str">
        <x:v>Pass</x:v>
      </x:c>
      <x:c r="B13" s="3" t="n">
        <x:f>COUNTIFS($E$54:$E$158,"Pass")</x:f>
        <x:v>0</x:v>
      </x:c>
      <x:c r="C13" s="3"/>
      <x:c r="D13" s="3" t="str">
        <x:v>Lỗi đã ghi nhận</x:v>
      </x:c>
      <x:c r="E13" s="3" t="n">
        <x:f>COUNTA(A165:A184)</x:f>
        <x:v>0</x:v>
      </x:c>
      <x:c r="F13" s="3"/>
      <x:c r="G13" s="3" t="str">
        <x:v>Tỷ lệ đạt</x:v>
      </x:c>
      <x:c r="H13" s="3" t="str">
        <x:v>Pass / (tổng ca − N/A). Fail, Blocked và Not Run vẫn nằm trong mẫu số.</x:v>
      </x:c>
      <x:c r="I13" s="3"/>
      <x:c r="J13" s="3"/>
      <x:c r="K13" s="3"/>
      <x:c r="L13" s="3"/>
      <x:c r="M13" s="3"/>
    </x:row>
    <x:row r="14" ht="42" customHeight="1">
      <x:c r="A14" s="3" t="str">
        <x:v>Fail</x:v>
      </x:c>
      <x:c r="B14" s="3" t="n">
        <x:f>COUNTIFS($E$54:$E$158,"Fail")</x:f>
        <x:v>0</x:v>
      </x:c>
      <x:c r="C14" s="3"/>
      <x:c r="D14" s="3" t="str">
        <x:v>Lỗi chưa đóng</x:v>
      </x:c>
      <x:c r="E14" s="3" t="n">
        <x:f>COUNTIFS(A165:A184,"&lt;&gt;",H165:H184,"&lt;&gt;Đóng")</x:f>
        <x:v>0</x:v>
      </x:c>
      <x:c r="F14" s="3"/>
      <x:c r="G14" s="3" t="str">
        <x:v>Lỗi</x:v>
      </x:c>
      <x:c r="H14" s="3" t="str">
        <x:v>Chỉ ghi lỗi quan sát được. 0 lỗi đã ghi không chứng minh phần mềm không có lỗi.</x:v>
      </x:c>
      <x:c r="I14" s="3"/>
      <x:c r="J14" s="3"/>
      <x:c r="K14" s="3"/>
      <x:c r="L14" s="3"/>
      <x:c r="M14" s="3"/>
    </x:row>
    <x:row r="15" ht="42" customHeight="1">
      <x:c r="A15" s="3" t="str">
        <x:v>Blocked</x:v>
      </x:c>
      <x:c r="B15" s="3" t="n">
        <x:f>COUNTIFS($E$54:$E$158,"Blocked")</x:f>
        <x:v>0</x:v>
      </x:c>
      <x:c r="C15" s="3"/>
      <x:c r="D15" s="3" t="str">
        <x:v>Lỗi nghiêm trọng mở</x:v>
      </x:c>
      <x:c r="E15" s="3" t="n">
        <x:f>COUNTIFS(A165:A184,"&lt;&gt;",D165:D184,"Nghiêm trọng",H165:H184,"&lt;&gt;Đóng")</x:f>
        <x:v>0</x:v>
      </x:c>
      <x:c r="F15" s="3"/>
      <x:c r="G15" s="3" t="str">
        <x:v>Điều kiện</x:v>
      </x:c>
      <x:c r="H15" s="3" t="str">
        <x:v>Theo Test Plan: ≥95% ca trong phạm vi Pass, 100% P1 Pass, không còn lỗi nghiêm trọng; lỗi tồn có quyết định xử lý.</x:v>
      </x:c>
      <x:c r="I15" s="3"/>
      <x:c r="J15" s="3"/>
      <x:c r="K15" s="3"/>
      <x:c r="L15" s="3"/>
      <x:c r="M15" s="3"/>
    </x:row>
    <x:row r="16" ht="42" customHeight="1">
      <x:c r="A16" s="3" t="str">
        <x:v>Not Run</x:v>
      </x:c>
      <x:c r="B16" s="3" t="n">
        <x:f>COUNTIFS($E$54:$E$158,"Not Run")</x:f>
        <x:v>105</x:v>
      </x:c>
      <x:c r="C16" s="3"/>
      <x:c r="D16" s="3" t="str">
        <x:v>Trạng thái kết quả</x:v>
      </x:c>
      <x:c r="E16" s="3" t="str">
        <x:f>IF(B12=0,"Chưa có ca đã chạy",IF(SUM(B15:B16)&gt;0,"Chưa chạy hết phạm vi","Đã ghi đủ trạng thái chạy"))</x:f>
        <x:v>Chưa có ca đã chạy</x:v>
      </x:c>
      <x:c r="F16" s="3"/>
      <x:c r="G16" s="3" t="str">
        <x:v>Bằng chứng</x:v>
      </x:c>
      <x:c r="H16" s="3" t="str">
        <x:v>Ghi ảnh/log đã che khóa, token và mật khẩu. Mỗi dòng ca phản ánh lần chạy mới nhất.</x:v>
      </x:c>
      <x:c r="I16" s="3"/>
      <x:c r="J16" s="3"/>
      <x:c r="K16" s="3"/>
      <x:c r="L16" s="3"/>
      <x:c r="M16" s="3"/>
    </x:row>
    <x:row r="17" ht="42" customHeight="1">
      <x:c r="A17" s="3" t="str">
        <x:v>N/A</x:v>
      </x:c>
      <x:c r="B17" s="3" t="n">
        <x:f>COUNTIFS($E$54:$E$158,"N/A")</x:f>
        <x:v>0</x:v>
      </x:c>
      <x:c r="C17" s="3"/>
      <x:c r="D17" s="3" t="str">
        <x:v>Mục tiêu tỷ lệ đạt</x:v>
      </x:c>
      <x:c r="E17" s="12" t="n">
        <x:v>0.95</x:v>
      </x:c>
      <x:c r="F17" s="3"/>
      <x:c r="G17" s="3" t="str">
        <x:v>Lịch sử</x:v>
      </x:c>
      <x:c r="H17" s="3" t="str">
        <x:v>Giữ lịch sử chạy/retest ở file Test Case; ghi ngày và build thực tế vào báo cáo.</x:v>
      </x:c>
      <x:c r="I17" s="3"/>
      <x:c r="J17" s="3"/>
      <x:c r="K17" s="3"/>
      <x:c r="L17" s="3"/>
      <x:c r="M17" s="3"/>
    </x:row>
    <x:row r="18" ht="42" customHeight="1">
      <x:c r="A18" s="3" t="str">
        <x:v>Tỷ lệ đã chạy</x:v>
      </x:c>
      <x:c r="B18" s="11" t="n">
        <x:f>IF(B11=0,"Không áp dụng",B12/B11)</x:f>
        <x:v>0</x:v>
      </x:c>
      <x:c r="C18" s="3"/>
      <x:c r="D18" s="3" t="str">
        <x:v>Giờ kiểm thử dự kiến</x:v>
      </x:c>
      <x:c r="E18" s="3" t="n">
        <x:v>16</x:v>
      </x:c>
      <x:c r="F18" s="3"/>
      <x:c r="G18" s="3" t="str">
        <x:v>N/A</x:v>
      </x:c>
      <x:c r="H18" s="3" t="str">
        <x:v>Phải có lý do và người xác nhận ở cột L. Không dùng N/A để bỏ qua chức năng thiếu.</x:v>
      </x:c>
      <x:c r="I18" s="3"/>
      <x:c r="J18" s="3"/>
      <x:c r="K18" s="3"/>
      <x:c r="L18" s="3"/>
      <x:c r="M18" s="3"/>
    </x:row>
    <x:row r="19" ht="42" customHeight="1">
      <x:c r="A19" s="3" t="str">
        <x:v>Tỷ lệ đạt trong phạm vi</x:v>
      </x:c>
      <x:c r="B19" s="11" t="n">
        <x:f>IF(B11=0,"Không áp dụng",B13/B11)</x:f>
        <x:v>0</x:v>
      </x:c>
      <x:c r="C19" s="3"/>
      <x:c r="D19" s="3" t="str">
        <x:v>Giờ kiểm thử thực tế</x:v>
      </x:c>
      <x:c r="E19" s="6"/>
      <x:c r="F19" s="3"/>
      <x:c r="G19" s="3" t="str">
        <x:v>Kết luận</x:v>
      </x:c>
      <x:c r="H19" s="3" t="str">
        <x:v>Hợp chỉ chọn kết luận sau khi rà soát ca, lỗi còn mở, bằng chứng và các điều kiện riêng của sprint.</x:v>
      </x:c>
      <x:c r="I19" s="3"/>
      <x:c r="J19" s="3"/>
      <x:c r="K19" s="3"/>
      <x:c r="L19" s="3"/>
      <x:c r="M19" s="3"/>
    </x:row>
    <x:row r="20" ht="38" customHeight="1">
      <x:c r="A20" s="3" t="str">
        <x:v>Tỷ lệ đạt trên ca đã chạy</x:v>
      </x:c>
      <x:c r="B20" s="11" t="str">
        <x:f>IF(B12=0,"Chưa có dữ liệu",B13/B12)</x:f>
        <x:v>Chưa có dữ liệu</x:v>
      </x:c>
      <x:c r="C20" s="3"/>
      <x:c r="D20" s="3" t="str">
        <x:v>Kết luận của Hợp</x:v>
      </x:c>
      <x:c r="E20" s="6" t="str">
        <x:v>Chưa đánh giá</x:v>
      </x:c>
      <x:c r="F20" s="3"/>
      <x:c r="G20" s="3"/>
      <x:c r="H20" s="3"/>
      <x:c r="I20" s="3"/>
      <x:c r="J20" s="3"/>
      <x:c r="K20" s="3"/>
      <x:c r="L20" s="3"/>
      <x:c r="M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5" t="str">
        <x:v>Kết quả theo nhóm chức năng</x:v>
      </x:c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34" customHeight="1">
      <x:c r="A25" s="10" t="str">
        <x:v>Nhóm chức năng</x:v>
      </x:c>
      <x:c r="B25" s="10" t="str">
        <x:v>Tổng ca</x:v>
      </x:c>
      <x:c r="C25" s="10" t="str">
        <x:v>Pass</x:v>
      </x:c>
      <x:c r="D25" s="10" t="str">
        <x:v>Fail</x:v>
      </x:c>
      <x:c r="E25" s="10" t="str">
        <x:v>Blocked</x:v>
      </x:c>
      <x:c r="F25" s="10" t="str">
        <x:v>Not Run</x:v>
      </x:c>
      <x:c r="G25" s="10" t="str">
        <x:v>N/A</x:v>
      </x:c>
      <x:c r="H25" s="10" t="str">
        <x:v>Trong phạm vi</x:v>
      </x:c>
      <x:c r="I25" s="10" t="str">
        <x:v>Tỷ lệ đạt</x:v>
      </x:c>
      <x:c r="J25" s="3"/>
      <x:c r="K25" s="3"/>
      <x:c r="L25" s="3"/>
      <x:c r="M25" s="3"/>
    </x:row>
    <x:row r="26" ht="40" customHeight="1">
      <x:c r="A26" s="3" t="str">
        <x:v>F05 Mapbox/vị trí</x:v>
      </x:c>
      <x:c r="B26" s="3" t="n">
        <x:f>COUNTIFS($B$54:$B$158,A26)</x:f>
        <x:v>17</x:v>
      </x:c>
      <x:c r="C26" s="3" t="n">
        <x:f>COUNTIFS($B$54:$B$158,A26,$E$54:$E$158,"Pass")</x:f>
        <x:v>0</x:v>
      </x:c>
      <x:c r="D26" s="3" t="n">
        <x:f>COUNTIFS($B$54:$B$158,A26,$E$54:$E$158,"Fail")</x:f>
        <x:v>0</x:v>
      </x:c>
      <x:c r="E26" s="3" t="n">
        <x:f>COUNTIFS($B$54:$B$158,A26,$E$54:$E$158,"Blocked")</x:f>
        <x:v>0</x:v>
      </x:c>
      <x:c r="F26" s="3" t="n">
        <x:f>COUNTIFS($B$54:$B$158,A26,$E$54:$E$158,"Not Run")</x:f>
        <x:v>17</x:v>
      </x:c>
      <x:c r="G26" s="3" t="n">
        <x:f>COUNTIFS($B$54:$B$158,A26,$E$54:$E$158,"N/A")</x:f>
        <x:v>0</x:v>
      </x:c>
      <x:c r="H26" s="3" t="n">
        <x:f>B26-G26</x:f>
        <x:v>17</x:v>
      </x:c>
      <x:c r="I26" s="11" t="n">
        <x:f>IF(H26=0,"Không áp dụng",C26/H26)</x:f>
        <x:v>0</x:v>
      </x:c>
      <x:c r="J26" s="3"/>
      <x:c r="K26" s="3"/>
      <x:c r="L26" s="3"/>
      <x:c r="M26" s="3"/>
    </x:row>
    <x:row r="27" ht="40" customHeight="1">
      <x:c r="A27" s="3" t="str">
        <x:v>F06 Bình luận</x:v>
      </x:c>
      <x:c r="B27" s="3" t="n">
        <x:f>COUNTIFS($B$54:$B$158,A27)</x:f>
        <x:v>10</x:v>
      </x:c>
      <x:c r="C27" s="3" t="n">
        <x:f>COUNTIFS($B$54:$B$158,A27,$E$54:$E$158,"Pass")</x:f>
        <x:v>0</x:v>
      </x:c>
      <x:c r="D27" s="3" t="n">
        <x:f>COUNTIFS($B$54:$B$158,A27,$E$54:$E$158,"Fail")</x:f>
        <x:v>0</x:v>
      </x:c>
      <x:c r="E27" s="3" t="n">
        <x:f>COUNTIFS($B$54:$B$158,A27,$E$54:$E$158,"Blocked")</x:f>
        <x:v>0</x:v>
      </x:c>
      <x:c r="F27" s="3" t="n">
        <x:f>COUNTIFS($B$54:$B$158,A27,$E$54:$E$158,"Not Run")</x:f>
        <x:v>10</x:v>
      </x:c>
      <x:c r="G27" s="3" t="n">
        <x:f>COUNTIFS($B$54:$B$158,A27,$E$54:$E$158,"N/A")</x:f>
        <x:v>0</x:v>
      </x:c>
      <x:c r="H27" s="3" t="n">
        <x:f>B27-G27</x:f>
        <x:v>10</x:v>
      </x:c>
      <x:c r="I27" s="11" t="n">
        <x:f>IF(H27=0,"Không áp dụng",C27/H27)</x:f>
        <x:v>0</x:v>
      </x:c>
      <x:c r="J27" s="3"/>
      <x:c r="K27" s="3"/>
      <x:c r="L27" s="3"/>
      <x:c r="M27" s="3"/>
    </x:row>
    <x:row r="28" ht="40" customHeight="1">
      <x:c r="A28" s="3" t="str">
        <x:v>F06 Đánh giá</x:v>
      </x:c>
      <x:c r="B28" s="3" t="n">
        <x:f>COUNTIFS($B$54:$B$158,A28)</x:f>
        <x:v>9</x:v>
      </x:c>
      <x:c r="C28" s="3" t="n">
        <x:f>COUNTIFS($B$54:$B$158,A28,$E$54:$E$158,"Pass")</x:f>
        <x:v>0</x:v>
      </x:c>
      <x:c r="D28" s="3" t="n">
        <x:f>COUNTIFS($B$54:$B$158,A28,$E$54:$E$158,"Fail")</x:f>
        <x:v>0</x:v>
      </x:c>
      <x:c r="E28" s="3" t="n">
        <x:f>COUNTIFS($B$54:$B$158,A28,$E$54:$E$158,"Blocked")</x:f>
        <x:v>0</x:v>
      </x:c>
      <x:c r="F28" s="3" t="n">
        <x:f>COUNTIFS($B$54:$B$158,A28,$E$54:$E$158,"Not Run")</x:f>
        <x:v>9</x:v>
      </x:c>
      <x:c r="G28" s="3" t="n">
        <x:f>COUNTIFS($B$54:$B$158,A28,$E$54:$E$158,"N/A")</x:f>
        <x:v>0</x:v>
      </x:c>
      <x:c r="H28" s="3" t="n">
        <x:f>B28-G28</x:f>
        <x:v>9</x:v>
      </x:c>
      <x:c r="I28" s="11" t="n">
        <x:f>IF(H28=0,"Không áp dụng",C28/H28)</x:f>
        <x:v>0</x:v>
      </x:c>
      <x:c r="J28" s="3"/>
      <x:c r="K28" s="3"/>
      <x:c r="L28" s="3"/>
      <x:c r="M28" s="3"/>
    </x:row>
    <x:row r="29" ht="40" customHeight="1">
      <x:c r="A29" s="3" t="str">
        <x:v>F06 Báo cáo</x:v>
      </x:c>
      <x:c r="B29" s="3" t="n">
        <x:f>COUNTIFS($B$54:$B$158,A29)</x:f>
        <x:v>5</x:v>
      </x:c>
      <x:c r="C29" s="3" t="n">
        <x:f>COUNTIFS($B$54:$B$158,A29,$E$54:$E$158,"Pass")</x:f>
        <x:v>0</x:v>
      </x:c>
      <x:c r="D29" s="3" t="n">
        <x:f>COUNTIFS($B$54:$B$158,A29,$E$54:$E$158,"Fail")</x:f>
        <x:v>0</x:v>
      </x:c>
      <x:c r="E29" s="3" t="n">
        <x:f>COUNTIFS($B$54:$B$158,A29,$E$54:$E$158,"Blocked")</x:f>
        <x:v>0</x:v>
      </x:c>
      <x:c r="F29" s="3" t="n">
        <x:f>COUNTIFS($B$54:$B$158,A29,$E$54:$E$158,"Not Run")</x:f>
        <x:v>5</x:v>
      </x:c>
      <x:c r="G29" s="3" t="n">
        <x:f>COUNTIFS($B$54:$B$158,A29,$E$54:$E$158,"N/A")</x:f>
        <x:v>0</x:v>
      </x:c>
      <x:c r="H29" s="3" t="n">
        <x:f>B29-G29</x:f>
        <x:v>5</x:v>
      </x:c>
      <x:c r="I29" s="11" t="n">
        <x:f>IF(H29=0,"Không áp dụng",C29/H29)</x:f>
        <x:v>0</x:v>
      </x:c>
      <x:c r="J29" s="3"/>
      <x:c r="K29" s="3"/>
      <x:c r="L29" s="3"/>
      <x:c r="M29" s="3"/>
    </x:row>
    <x:row r="30" ht="40" customHeight="1">
      <x:c r="A30" s="3" t="str">
        <x:v>F07 Gói</x:v>
      </x:c>
      <x:c r="B30" s="3" t="n">
        <x:f>COUNTIFS($B$54:$B$158,A30)</x:f>
        <x:v>5</x:v>
      </x:c>
      <x:c r="C30" s="3" t="n">
        <x:f>COUNTIFS($B$54:$B$158,A30,$E$54:$E$158,"Pass")</x:f>
        <x:v>0</x:v>
      </x:c>
      <x:c r="D30" s="3" t="n">
        <x:f>COUNTIFS($B$54:$B$158,A30,$E$54:$E$158,"Fail")</x:f>
        <x:v>0</x:v>
      </x:c>
      <x:c r="E30" s="3" t="n">
        <x:f>COUNTIFS($B$54:$B$158,A30,$E$54:$E$158,"Blocked")</x:f>
        <x:v>0</x:v>
      </x:c>
      <x:c r="F30" s="3" t="n">
        <x:f>COUNTIFS($B$54:$B$158,A30,$E$54:$E$158,"Not Run")</x:f>
        <x:v>5</x:v>
      </x:c>
      <x:c r="G30" s="3" t="n">
        <x:f>COUNTIFS($B$54:$B$158,A30,$E$54:$E$158,"N/A")</x:f>
        <x:v>0</x:v>
      </x:c>
      <x:c r="H30" s="3" t="n">
        <x:f>B30-G30</x:f>
        <x:v>5</x:v>
      </x:c>
      <x:c r="I30" s="11" t="n">
        <x:f>IF(H30=0,"Không áp dụng",C30/H30)</x:f>
        <x:v>0</x:v>
      </x:c>
      <x:c r="J30" s="3"/>
      <x:c r="K30" s="3"/>
      <x:c r="L30" s="3"/>
      <x:c r="M30" s="3"/>
    </x:row>
    <x:row r="31" ht="40" customHeight="1">
      <x:c r="A31" s="3" t="str">
        <x:v>F07 Thanh toán</x:v>
      </x:c>
      <x:c r="B31" s="3" t="n">
        <x:f>COUNTIFS($B$54:$B$158,A31)</x:f>
        <x:v>11</x:v>
      </x:c>
      <x:c r="C31" s="3" t="n">
        <x:f>COUNTIFS($B$54:$B$158,A31,$E$54:$E$158,"Pass")</x:f>
        <x:v>0</x:v>
      </x:c>
      <x:c r="D31" s="3" t="n">
        <x:f>COUNTIFS($B$54:$B$158,A31,$E$54:$E$158,"Fail")</x:f>
        <x:v>0</x:v>
      </x:c>
      <x:c r="E31" s="3" t="n">
        <x:f>COUNTIFS($B$54:$B$158,A31,$E$54:$E$158,"Blocked")</x:f>
        <x:v>0</x:v>
      </x:c>
      <x:c r="F31" s="3" t="n">
        <x:f>COUNTIFS($B$54:$B$158,A31,$E$54:$E$158,"Not Run")</x:f>
        <x:v>11</x:v>
      </x:c>
      <x:c r="G31" s="3" t="n">
        <x:f>COUNTIFS($B$54:$B$158,A31,$E$54:$E$158,"N/A")</x:f>
        <x:v>0</x:v>
      </x:c>
      <x:c r="H31" s="3" t="n">
        <x:f>B31-G31</x:f>
        <x:v>11</x:v>
      </x:c>
      <x:c r="I31" s="11" t="n">
        <x:f>IF(H31=0,"Không áp dụng",C31/H31)</x:f>
        <x:v>0</x:v>
      </x:c>
      <x:c r="J31" s="3"/>
      <x:c r="K31" s="3"/>
      <x:c r="L31" s="3"/>
      <x:c r="M31" s="3"/>
    </x:row>
    <x:row r="32" ht="40" customHeight="1">
      <x:c r="A32" s="3" t="str">
        <x:v>F07 Gói/giao dịch</x:v>
      </x:c>
      <x:c r="B32" s="3" t="n">
        <x:f>COUNTIFS($B$54:$B$158,A32)</x:f>
        <x:v>5</x:v>
      </x:c>
      <x:c r="C32" s="3" t="n">
        <x:f>COUNTIFS($B$54:$B$158,A32,$E$54:$E$158,"Pass")</x:f>
        <x:v>0</x:v>
      </x:c>
      <x:c r="D32" s="3" t="n">
        <x:f>COUNTIFS($B$54:$B$158,A32,$E$54:$E$158,"Fail")</x:f>
        <x:v>0</x:v>
      </x:c>
      <x:c r="E32" s="3" t="n">
        <x:f>COUNTIFS($B$54:$B$158,A32,$E$54:$E$158,"Blocked")</x:f>
        <x:v>0</x:v>
      </x:c>
      <x:c r="F32" s="3" t="n">
        <x:f>COUNTIFS($B$54:$B$158,A32,$E$54:$E$158,"Not Run")</x:f>
        <x:v>5</x:v>
      </x:c>
      <x:c r="G32" s="3" t="n">
        <x:f>COUNTIFS($B$54:$B$158,A32,$E$54:$E$158,"N/A")</x:f>
        <x:v>0</x:v>
      </x:c>
      <x:c r="H32" s="3" t="n">
        <x:f>B32-G32</x:f>
        <x:v>5</x:v>
      </x:c>
      <x:c r="I32" s="11" t="n">
        <x:f>IF(H32=0,"Không áp dụng",C32/H32)</x:f>
        <x:v>0</x:v>
      </x:c>
      <x:c r="J32" s="3"/>
      <x:c r="K32" s="3"/>
      <x:c r="L32" s="3"/>
      <x:c r="M32" s="3"/>
    </x:row>
    <x:row r="33" ht="40" customHeight="1">
      <x:c r="A33" s="3" t="str">
        <x:v>F08 Quyền quản trị</x:v>
      </x:c>
      <x:c r="B33" s="3" t="n">
        <x:f>COUNTIFS($B$54:$B$158,A33)</x:f>
        <x:v>10</x:v>
      </x:c>
      <x:c r="C33" s="3" t="n">
        <x:f>COUNTIFS($B$54:$B$158,A33,$E$54:$E$158,"Pass")</x:f>
        <x:v>0</x:v>
      </x:c>
      <x:c r="D33" s="3" t="n">
        <x:f>COUNTIFS($B$54:$B$158,A33,$E$54:$E$158,"Fail")</x:f>
        <x:v>0</x:v>
      </x:c>
      <x:c r="E33" s="3" t="n">
        <x:f>COUNTIFS($B$54:$B$158,A33,$E$54:$E$158,"Blocked")</x:f>
        <x:v>0</x:v>
      </x:c>
      <x:c r="F33" s="3" t="n">
        <x:f>COUNTIFS($B$54:$B$158,A33,$E$54:$E$158,"Not Run")</x:f>
        <x:v>10</x:v>
      </x:c>
      <x:c r="G33" s="3" t="n">
        <x:f>COUNTIFS($B$54:$B$158,A33,$E$54:$E$158,"N/A")</x:f>
        <x:v>0</x:v>
      </x:c>
      <x:c r="H33" s="3" t="n">
        <x:f>B33-G33</x:f>
        <x:v>10</x:v>
      </x:c>
      <x:c r="I33" s="11" t="n">
        <x:f>IF(H33=0,"Không áp dụng",C33/H33)</x:f>
        <x:v>0</x:v>
      </x:c>
      <x:c r="J33" s="3"/>
      <x:c r="K33" s="3"/>
      <x:c r="L33" s="3"/>
      <x:c r="M33" s="3"/>
    </x:row>
    <x:row r="34" ht="40" customHeight="1">
      <x:c r="A34" s="3" t="str">
        <x:v>F08 Tài khoản</x:v>
      </x:c>
      <x:c r="B34" s="3" t="n">
        <x:f>COUNTIFS($B$54:$B$158,A34)</x:f>
        <x:v>3</x:v>
      </x:c>
      <x:c r="C34" s="3" t="n">
        <x:f>COUNTIFS($B$54:$B$158,A34,$E$54:$E$158,"Pass")</x:f>
        <x:v>0</x:v>
      </x:c>
      <x:c r="D34" s="3" t="n">
        <x:f>COUNTIFS($B$54:$B$158,A34,$E$54:$E$158,"Fail")</x:f>
        <x:v>0</x:v>
      </x:c>
      <x:c r="E34" s="3" t="n">
        <x:f>COUNTIFS($B$54:$B$158,A34,$E$54:$E$158,"Blocked")</x:f>
        <x:v>0</x:v>
      </x:c>
      <x:c r="F34" s="3" t="n">
        <x:f>COUNTIFS($B$54:$B$158,A34,$E$54:$E$158,"Not Run")</x:f>
        <x:v>3</x:v>
      </x:c>
      <x:c r="G34" s="3" t="n">
        <x:f>COUNTIFS($B$54:$B$158,A34,$E$54:$E$158,"N/A")</x:f>
        <x:v>0</x:v>
      </x:c>
      <x:c r="H34" s="3" t="n">
        <x:f>B34-G34</x:f>
        <x:v>3</x:v>
      </x:c>
      <x:c r="I34" s="11" t="n">
        <x:f>IF(H34=0,"Không áp dụng",C34/H34)</x:f>
        <x:v>0</x:v>
      </x:c>
      <x:c r="J34" s="3"/>
      <x:c r="K34" s="3"/>
      <x:c r="L34" s="3"/>
      <x:c r="M34" s="3"/>
    </x:row>
    <x:row r="35" ht="40" customHeight="1">
      <x:c r="A35" s="3" t="str">
        <x:v>F08 Danh mục</x:v>
      </x:c>
      <x:c r="B35" s="3" t="n">
        <x:f>COUNTIFS($B$54:$B$158,A35)</x:f>
        <x:v>4</x:v>
      </x:c>
      <x:c r="C35" s="3" t="n">
        <x:f>COUNTIFS($B$54:$B$158,A35,$E$54:$E$158,"Pass")</x:f>
        <x:v>0</x:v>
      </x:c>
      <x:c r="D35" s="3" t="n">
        <x:f>COUNTIFS($B$54:$B$158,A35,$E$54:$E$158,"Fail")</x:f>
        <x:v>0</x:v>
      </x:c>
      <x:c r="E35" s="3" t="n">
        <x:f>COUNTIFS($B$54:$B$158,A35,$E$54:$E$158,"Blocked")</x:f>
        <x:v>0</x:v>
      </x:c>
      <x:c r="F35" s="3" t="n">
        <x:f>COUNTIFS($B$54:$B$158,A35,$E$54:$E$158,"Not Run")</x:f>
        <x:v>4</x:v>
      </x:c>
      <x:c r="G35" s="3" t="n">
        <x:f>COUNTIFS($B$54:$B$158,A35,$E$54:$E$158,"N/A")</x:f>
        <x:v>0</x:v>
      </x:c>
      <x:c r="H35" s="3" t="n">
        <x:f>B35-G35</x:f>
        <x:v>4</x:v>
      </x:c>
      <x:c r="I35" s="11" t="n">
        <x:f>IF(H35=0,"Không áp dụng",C35/H35)</x:f>
        <x:v>0</x:v>
      </x:c>
      <x:c r="J35" s="3"/>
      <x:c r="K35" s="3"/>
      <x:c r="L35" s="3"/>
      <x:c r="M35" s="3"/>
    </x:row>
    <x:row r="36" ht="40" customHeight="1">
      <x:c r="A36" s="3" t="str">
        <x:v>F08 Tin đăng</x:v>
      </x:c>
      <x:c r="B36" s="3" t="n">
        <x:f>COUNTIFS($B$54:$B$158,A36)</x:f>
        <x:v>3</x:v>
      </x:c>
      <x:c r="C36" s="3" t="n">
        <x:f>COUNTIFS($B$54:$B$158,A36,$E$54:$E$158,"Pass")</x:f>
        <x:v>0</x:v>
      </x:c>
      <x:c r="D36" s="3" t="n">
        <x:f>COUNTIFS($B$54:$B$158,A36,$E$54:$E$158,"Fail")</x:f>
        <x:v>0</x:v>
      </x:c>
      <x:c r="E36" s="3" t="n">
        <x:f>COUNTIFS($B$54:$B$158,A36,$E$54:$E$158,"Blocked")</x:f>
        <x:v>0</x:v>
      </x:c>
      <x:c r="F36" s="3" t="n">
        <x:f>COUNTIFS($B$54:$B$158,A36,$E$54:$E$158,"Not Run")</x:f>
        <x:v>3</x:v>
      </x:c>
      <x:c r="G36" s="3" t="n">
        <x:f>COUNTIFS($B$54:$B$158,A36,$E$54:$E$158,"N/A")</x:f>
        <x:v>0</x:v>
      </x:c>
      <x:c r="H36" s="3" t="n">
        <x:f>B36-G36</x:f>
        <x:v>3</x:v>
      </x:c>
      <x:c r="I36" s="11" t="n">
        <x:f>IF(H36=0,"Không áp dụng",C36/H36)</x:f>
        <x:v>0</x:v>
      </x:c>
      <x:c r="J36" s="3"/>
      <x:c r="K36" s="3"/>
      <x:c r="L36" s="3"/>
      <x:c r="M36" s="3"/>
    </x:row>
    <x:row r="37" ht="40" customHeight="1">
      <x:c r="A37" s="3" t="str">
        <x:v>F08 Gói</x:v>
      </x:c>
      <x:c r="B37" s="3" t="n">
        <x:f>COUNTIFS($B$54:$B$158,A37)</x:f>
        <x:v>5</x:v>
      </x:c>
      <x:c r="C37" s="3" t="n">
        <x:f>COUNTIFS($B$54:$B$158,A37,$E$54:$E$158,"Pass")</x:f>
        <x:v>0</x:v>
      </x:c>
      <x:c r="D37" s="3" t="n">
        <x:f>COUNTIFS($B$54:$B$158,A37,$E$54:$E$158,"Fail")</x:f>
        <x:v>0</x:v>
      </x:c>
      <x:c r="E37" s="3" t="n">
        <x:f>COUNTIFS($B$54:$B$158,A37,$E$54:$E$158,"Blocked")</x:f>
        <x:v>0</x:v>
      </x:c>
      <x:c r="F37" s="3" t="n">
        <x:f>COUNTIFS($B$54:$B$158,A37,$E$54:$E$158,"Not Run")</x:f>
        <x:v>5</x:v>
      </x:c>
      <x:c r="G37" s="3" t="n">
        <x:f>COUNTIFS($B$54:$B$158,A37,$E$54:$E$158,"N/A")</x:f>
        <x:v>0</x:v>
      </x:c>
      <x:c r="H37" s="3" t="n">
        <x:f>B37-G37</x:f>
        <x:v>5</x:v>
      </x:c>
      <x:c r="I37" s="11" t="n">
        <x:f>IF(H37=0,"Không áp dụng",C37/H37)</x:f>
        <x:v>0</x:v>
      </x:c>
      <x:c r="J37" s="3"/>
      <x:c r="K37" s="3"/>
      <x:c r="L37" s="3"/>
      <x:c r="M37" s="3"/>
    </x:row>
    <x:row r="38" ht="40" customHeight="1">
      <x:c r="A38" s="3" t="str">
        <x:v>F08 Kiểm duyệt tương tác</x:v>
      </x:c>
      <x:c r="B38" s="3" t="n">
        <x:f>COUNTIFS($B$54:$B$158,A38)</x:f>
        <x:v>4</x:v>
      </x:c>
      <x:c r="C38" s="3" t="n">
        <x:f>COUNTIFS($B$54:$B$158,A38,$E$54:$E$158,"Pass")</x:f>
        <x:v>0</x:v>
      </x:c>
      <x:c r="D38" s="3" t="n">
        <x:f>COUNTIFS($B$54:$B$158,A38,$E$54:$E$158,"Fail")</x:f>
        <x:v>0</x:v>
      </x:c>
      <x:c r="E38" s="3" t="n">
        <x:f>COUNTIFS($B$54:$B$158,A38,$E$54:$E$158,"Blocked")</x:f>
        <x:v>0</x:v>
      </x:c>
      <x:c r="F38" s="3" t="n">
        <x:f>COUNTIFS($B$54:$B$158,A38,$E$54:$E$158,"Not Run")</x:f>
        <x:v>4</x:v>
      </x:c>
      <x:c r="G38" s="3" t="n">
        <x:f>COUNTIFS($B$54:$B$158,A38,$E$54:$E$158,"N/A")</x:f>
        <x:v>0</x:v>
      </x:c>
      <x:c r="H38" s="3" t="n">
        <x:f>B38-G38</x:f>
        <x:v>4</x:v>
      </x:c>
      <x:c r="I38" s="11" t="n">
        <x:f>IF(H38=0,"Không áp dụng",C38/H38)</x:f>
        <x:v>0</x:v>
      </x:c>
      <x:c r="J38" s="3"/>
      <x:c r="K38" s="3"/>
      <x:c r="L38" s="3"/>
      <x:c r="M38" s="3"/>
    </x:row>
    <x:row r="39" ht="40" customHeight="1">
      <x:c r="A39" s="3" t="str">
        <x:v>F09 Thống kê</x:v>
      </x:c>
      <x:c r="B39" s="3" t="n">
        <x:f>COUNTIFS($B$54:$B$158,A39)</x:f>
        <x:v>9</x:v>
      </x:c>
      <x:c r="C39" s="3" t="n">
        <x:f>COUNTIFS($B$54:$B$158,A39,$E$54:$E$158,"Pass")</x:f>
        <x:v>0</x:v>
      </x:c>
      <x:c r="D39" s="3" t="n">
        <x:f>COUNTIFS($B$54:$B$158,A39,$E$54:$E$158,"Fail")</x:f>
        <x:v>0</x:v>
      </x:c>
      <x:c r="E39" s="3" t="n">
        <x:f>COUNTIFS($B$54:$B$158,A39,$E$54:$E$158,"Blocked")</x:f>
        <x:v>0</x:v>
      </x:c>
      <x:c r="F39" s="3" t="n">
        <x:f>COUNTIFS($B$54:$B$158,A39,$E$54:$E$158,"Not Run")</x:f>
        <x:v>9</x:v>
      </x:c>
      <x:c r="G39" s="3" t="n">
        <x:f>COUNTIFS($B$54:$B$158,A39,$E$54:$E$158,"N/A")</x:f>
        <x:v>0</x:v>
      </x:c>
      <x:c r="H39" s="3" t="n">
        <x:f>B39-G39</x:f>
        <x:v>9</x:v>
      </x:c>
      <x:c r="I39" s="11" t="n">
        <x:f>IF(H39=0,"Không áp dụng",C39/H39)</x:f>
        <x:v>0</x:v>
      </x:c>
      <x:c r="J39" s="3"/>
      <x:c r="K39" s="3"/>
      <x:c r="L39" s="3"/>
      <x:c r="M39" s="3"/>
    </x:row>
    <x:row r="40" ht="40" customHeight="1">
      <x:c r="A40" s="3" t="str">
        <x:v>F01–F04 Hồi quy</x:v>
      </x:c>
      <x:c r="B40" s="3" t="n">
        <x:f>COUNTIFS($B$54:$B$158,A40)</x:f>
        <x:v>5</x:v>
      </x:c>
      <x:c r="C40" s="3" t="n">
        <x:f>COUNTIFS($B$54:$B$158,A40,$E$54:$E$158,"Pass")</x:f>
        <x:v>0</x:v>
      </x:c>
      <x:c r="D40" s="3" t="n">
        <x:f>COUNTIFS($B$54:$B$158,A40,$E$54:$E$158,"Fail")</x:f>
        <x:v>0</x:v>
      </x:c>
      <x:c r="E40" s="3" t="n">
        <x:f>COUNTIFS($B$54:$B$158,A40,$E$54:$E$158,"Blocked")</x:f>
        <x:v>0</x:v>
      </x:c>
      <x:c r="F40" s="3" t="n">
        <x:f>COUNTIFS($B$54:$B$158,A40,$E$54:$E$158,"Not Run")</x:f>
        <x:v>5</x:v>
      </x:c>
      <x:c r="G40" s="3" t="n">
        <x:f>COUNTIFS($B$54:$B$158,A40,$E$54:$E$158,"N/A")</x:f>
        <x:v>0</x:v>
      </x:c>
      <x:c r="H40" s="3" t="n">
        <x:f>B40-G40</x:f>
        <x:v>5</x:v>
      </x:c>
      <x:c r="I40" s="11" t="n">
        <x:f>IF(H40=0,"Không áp dụng",C40/H40)</x:f>
        <x:v>0</x:v>
      </x:c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5" t="str">
        <x:v>Nhận xét và đề xuất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130" customHeight="1">
      <x:c r="A45" s="3" t="str">
        <x:v>Kết quả nổi bật</x:v>
      </x:c>
      <x:c r="B45" s="6" t="str">
        <x:v>Chưa có dữ liệu chạy kiểm thử.</x:v>
      </x:c>
      <x:c r="C45" s="6"/>
      <x:c r="D45" s="3" t="str">
        <x:v>Lưu ý riêng của sprint</x:v>
      </x:c>
      <x:c r="E45" s="3" t="str">
        <x:v>Thanh toán chỉ dùng sandbox/mock đã xác nhận. Kiểm thử toàn hệ thống sau Sprint 3 là giai đoạn riêng.</x:v>
      </x:c>
      <x:c r="F45" s="3"/>
      <x:c r="G45" s="3"/>
      <x:c r="H45" s="3"/>
      <x:c r="I45" s="3"/>
      <x:c r="J45" s="3"/>
      <x:c r="K45" s="3"/>
      <x:c r="L45" s="3"/>
      <x:c r="M45" s="3"/>
    </x:row>
    <x:row r="46" ht="50" customHeight="1">
      <x:c r="A46" s="3" t="str">
        <x:v>Lỗi và tồn tại</x:v>
      </x:c>
      <x:c r="B46" s="6" t="str"/>
      <x:c r="C46" s="6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50" customHeight="1">
      <x:c r="A47" s="3" t="str">
        <x:v>Phần bị chặn/chưa kiểm tra</x:v>
      </x:c>
      <x:c r="B47" s="6" t="str"/>
      <x:c r="C47" s="6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50" customHeight="1">
      <x:c r="A48" s="3" t="str">
        <x:v>Đề xuất xử lý</x:v>
      </x:c>
      <x:c r="B48" s="6" t="str"/>
      <x:c r="C48" s="6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50" customHeight="1">
      <x:c r="A49" s="3" t="str">
        <x:v>Người rà soát / ngày</x:v>
      </x:c>
      <x:c r="B49" s="6" t="str"/>
      <x:c r="C49" s="6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5" t="str">
        <x:v>Chi tiết kết quả theo ca</x:v>
      </x:c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34" customHeight="1">
      <x:c r="A53" s="10" t="str">
        <x:v>Mã ca</x:v>
      </x:c>
      <x:c r="B53" s="10" t="str">
        <x:v>Nhóm chức năng</x:v>
      </x:c>
      <x:c r="C53" s="10" t="str">
        <x:v>Tên ca kiểm thử</x:v>
      </x:c>
      <x:c r="D53" s="10" t="str">
        <x:v>Ưu tiên</x:v>
      </x:c>
      <x:c r="E53" s="10" t="str">
        <x:v>Trạng thái</x:v>
      </x:c>
      <x:c r="F53" s="10" t="str">
        <x:v>Kết quả thực tế</x:v>
      </x:c>
      <x:c r="G53" s="10" t="str">
        <x:v>Ngày chạy</x:v>
      </x:c>
      <x:c r="H53" s="10" t="str">
        <x:v>Build/commit</x:v>
      </x:c>
      <x:c r="I53" s="10" t="str">
        <x:v>Bằng chứng</x:v>
      </x:c>
      <x:c r="J53" s="10" t="str">
        <x:v>Mã lỗi</x:v>
      </x:c>
      <x:c r="K53" s="10" t="str">
        <x:v>Kết quả retest</x:v>
      </x:c>
      <x:c r="L53" s="10" t="str">
        <x:v>Ghi chú / lý do N/A</x:v>
      </x:c>
      <x:c r="M53" s="10" t="str">
        <x:v>Người chạy</x:v>
      </x:c>
    </x:row>
    <x:row r="54" ht="44" customHeight="1">
      <x:c r="A54" s="3" t="str">
        <x:v>S3-TC001</x:v>
      </x:c>
      <x:c r="B54" s="3" t="str">
        <x:v>F05 Mapbox/vị trí</x:v>
      </x:c>
      <x:c r="C54" s="3" t="str">
        <x:v>Bản đồ tải thành công</x:v>
      </x:c>
      <x:c r="D54" s="3" t="str">
        <x:v>P1</x:v>
      </x:c>
      <x:c r="E54" s="6" t="str">
        <x:v>Not Run</x:v>
      </x:c>
      <x:c r="F54" s="6" t="str"/>
      <x:c r="G54" s="13"/>
      <x:c r="H54" s="6" t="str"/>
      <x:c r="I54" s="6" t="str"/>
      <x:c r="J54" s="6" t="str"/>
      <x:c r="K54" s="6" t="str"/>
      <x:c r="L54" s="6" t="str"/>
      <x:c r="M54" s="6" t="str">
        <x:v>Hoàng Đại Hợp</x:v>
      </x:c>
    </x:row>
    <x:row r="55" ht="44" customHeight="1">
      <x:c r="A55" s="3" t="str">
        <x:v>S3-TC002</x:v>
      </x:c>
      <x:c r="B55" s="3" t="str">
        <x:v>F05 Mapbox/vị trí</x:v>
      </x:c>
      <x:c r="C55" s="3" t="str">
        <x:v>Marker đúng tọa độ</x:v>
      </x:c>
      <x:c r="D55" s="3" t="str">
        <x:v>P1</x:v>
      </x:c>
      <x:c r="E55" s="6" t="str">
        <x:v>Not Run</x:v>
      </x:c>
      <x:c r="F55" s="6" t="str"/>
      <x:c r="G55" s="13"/>
      <x:c r="H55" s="6" t="str"/>
      <x:c r="I55" s="6" t="str"/>
      <x:c r="J55" s="6" t="str"/>
      <x:c r="K55" s="6" t="str"/>
      <x:c r="L55" s="6" t="str"/>
      <x:c r="M55" s="6" t="str">
        <x:v>Hoàng Đại Hợp</x:v>
      </x:c>
    </x:row>
    <x:row r="56" ht="44" customHeight="1">
      <x:c r="A56" s="3" t="str">
        <x:v>S3-TC003</x:v>
      </x:c>
      <x:c r="B56" s="3" t="str">
        <x:v>F05 Mapbox/vị trí</x:v>
      </x:c>
      <x:c r="C56" s="3" t="str">
        <x:v>Bấm marker mở đúng tin</x:v>
      </x:c>
      <x:c r="D56" s="3" t="str">
        <x:v>P1</x:v>
      </x:c>
      <x:c r="E56" s="6" t="str">
        <x:v>Not Run</x:v>
      </x:c>
      <x:c r="F56" s="6" t="str"/>
      <x:c r="G56" s="13"/>
      <x:c r="H56" s="6" t="str"/>
      <x:c r="I56" s="6" t="str"/>
      <x:c r="J56" s="6" t="str"/>
      <x:c r="K56" s="6" t="str"/>
      <x:c r="L56" s="6" t="str"/>
      <x:c r="M56" s="6" t="str">
        <x:v>Hoàng Đại Hợp</x:v>
      </x:c>
    </x:row>
    <x:row r="57" ht="44" customHeight="1">
      <x:c r="A57" s="3" t="str">
        <x:v>S3-TC004</x:v>
      </x:c>
      <x:c r="B57" s="3" t="str">
        <x:v>F05 Mapbox/vị trí</x:v>
      </x:c>
      <x:c r="C57" s="3" t="str">
        <x:v>Tin thiếu tọa độ</x:v>
      </x:c>
      <x:c r="D57" s="3" t="str">
        <x:v>P1</x:v>
      </x:c>
      <x:c r="E57" s="6" t="str">
        <x:v>Not Run</x:v>
      </x:c>
      <x:c r="F57" s="6" t="str"/>
      <x:c r="G57" s="13"/>
      <x:c r="H57" s="6" t="str"/>
      <x:c r="I57" s="6" t="str"/>
      <x:c r="J57" s="6" t="str"/>
      <x:c r="K57" s="6" t="str"/>
      <x:c r="L57" s="6" t="str"/>
      <x:c r="M57" s="6" t="str">
        <x:v>Hoàng Đại Hợp</x:v>
      </x:c>
    </x:row>
    <x:row r="58" ht="44" customHeight="1">
      <x:c r="A58" s="3" t="str">
        <x:v>S3-TC005</x:v>
      </x:c>
      <x:c r="B58" s="3" t="str">
        <x:v>F05 Mapbox/vị trí</x:v>
      </x:c>
      <x:c r="C58" s="3" t="str">
        <x:v>Vĩ độ ngoài phạm vi</x:v>
      </x:c>
      <x:c r="D58" s="3" t="str">
        <x:v>P1</x:v>
      </x:c>
      <x:c r="E58" s="6" t="str">
        <x:v>Not Run</x:v>
      </x:c>
      <x:c r="F58" s="6" t="str"/>
      <x:c r="G58" s="13"/>
      <x:c r="H58" s="6" t="str"/>
      <x:c r="I58" s="6" t="str"/>
      <x:c r="J58" s="6" t="str"/>
      <x:c r="K58" s="6" t="str"/>
      <x:c r="L58" s="6" t="str"/>
      <x:c r="M58" s="6" t="str">
        <x:v>Hoàng Đại Hợp</x:v>
      </x:c>
    </x:row>
    <x:row r="59" ht="44" customHeight="1">
      <x:c r="A59" s="3" t="str">
        <x:v>S3-TC006</x:v>
      </x:c>
      <x:c r="B59" s="3" t="str">
        <x:v>F05 Mapbox/vị trí</x:v>
      </x:c>
      <x:c r="C59" s="3" t="str">
        <x:v>Kinh độ ngoài phạm vi</x:v>
      </x:c>
      <x:c r="D59" s="3" t="str">
        <x:v>P1</x:v>
      </x:c>
      <x:c r="E59" s="6" t="str">
        <x:v>Not Run</x:v>
      </x:c>
      <x:c r="F59" s="6" t="str"/>
      <x:c r="G59" s="13"/>
      <x:c r="H59" s="6" t="str"/>
      <x:c r="I59" s="6" t="str"/>
      <x:c r="J59" s="6" t="str"/>
      <x:c r="K59" s="6" t="str"/>
      <x:c r="L59" s="6" t="str"/>
      <x:c r="M59" s="6" t="str">
        <x:v>Hoàng Đại Hợp</x:v>
      </x:c>
    </x:row>
    <x:row r="60" ht="44" customHeight="1">
      <x:c r="A60" s="3" t="str">
        <x:v>S3-TC007</x:v>
      </x:c>
      <x:c r="B60" s="3" t="str">
        <x:v>F05 Mapbox/vị trí</x:v>
      </x:c>
      <x:c r="C60" s="3" t="str">
        <x:v>Bản đồ không có tin</x:v>
      </x:c>
      <x:c r="D60" s="3" t="str">
        <x:v>P2</x:v>
      </x:c>
      <x:c r="E60" s="6" t="str">
        <x:v>Not Run</x:v>
      </x:c>
      <x:c r="F60" s="6" t="str"/>
      <x:c r="G60" s="13"/>
      <x:c r="H60" s="6" t="str"/>
      <x:c r="I60" s="6" t="str"/>
      <x:c r="J60" s="6" t="str"/>
      <x:c r="K60" s="6" t="str"/>
      <x:c r="L60" s="6" t="str"/>
      <x:c r="M60" s="6" t="str">
        <x:v>Hoàng Đại Hợp</x:v>
      </x:c>
    </x:row>
    <x:row r="61" ht="44" customHeight="1">
      <x:c r="A61" s="3" t="str">
        <x:v>S3-TC008</x:v>
      </x:c>
      <x:c r="B61" s="3" t="str">
        <x:v>F05 Mapbox/vị trí</x:v>
      </x:c>
      <x:c r="C61" s="3" t="str">
        <x:v>Phóng to/thu nhỏ/di chuyển</x:v>
      </x:c>
      <x:c r="D61" s="3" t="str">
        <x:v>P2</x:v>
      </x:c>
      <x:c r="E61" s="6" t="str">
        <x:v>Not Run</x:v>
      </x:c>
      <x:c r="F61" s="6" t="str"/>
      <x:c r="G61" s="13"/>
      <x:c r="H61" s="6" t="str"/>
      <x:c r="I61" s="6" t="str"/>
      <x:c r="J61" s="6" t="str"/>
      <x:c r="K61" s="6" t="str"/>
      <x:c r="L61" s="6" t="str"/>
      <x:c r="M61" s="6" t="str">
        <x:v>Hoàng Đại Hợp</x:v>
      </x:c>
    </x:row>
    <x:row r="62" ht="44" customHeight="1">
      <x:c r="A62" s="3" t="str">
        <x:v>S3-TC009</x:v>
      </x:c>
      <x:c r="B62" s="3" t="str">
        <x:v>F05 Mapbox/vị trí</x:v>
      </x:c>
      <x:c r="C62" s="3" t="str">
        <x:v>Cho phép định vị</x:v>
      </x:c>
      <x:c r="D62" s="3" t="str">
        <x:v>P1</x:v>
      </x:c>
      <x:c r="E62" s="6" t="str">
        <x:v>Not Run</x:v>
      </x:c>
      <x:c r="F62" s="6" t="str"/>
      <x:c r="G62" s="13"/>
      <x:c r="H62" s="6" t="str"/>
      <x:c r="I62" s="6" t="str"/>
      <x:c r="J62" s="6" t="str"/>
      <x:c r="K62" s="6" t="str"/>
      <x:c r="L62" s="6" t="str"/>
      <x:c r="M62" s="6" t="str">
        <x:v>Hoàng Đại Hợp</x:v>
      </x:c>
    </x:row>
    <x:row r="63" ht="44" customHeight="1">
      <x:c r="A63" s="3" t="str">
        <x:v>S3-TC010</x:v>
      </x:c>
      <x:c r="B63" s="3" t="str">
        <x:v>F05 Mapbox/vị trí</x:v>
      </x:c>
      <x:c r="C63" s="3" t="str">
        <x:v>Từ chối định vị</x:v>
      </x:c>
      <x:c r="D63" s="3" t="str">
        <x:v>P1</x:v>
      </x:c>
      <x:c r="E63" s="6" t="str">
        <x:v>Not Run</x:v>
      </x:c>
      <x:c r="F63" s="6" t="str"/>
      <x:c r="G63" s="13"/>
      <x:c r="H63" s="6" t="str"/>
      <x:c r="I63" s="6" t="str"/>
      <x:c r="J63" s="6" t="str"/>
      <x:c r="K63" s="6" t="str"/>
      <x:c r="L63" s="6" t="str"/>
      <x:c r="M63" s="6" t="str">
        <x:v>Hoàng Đại Hợp</x:v>
      </x:c>
    </x:row>
    <x:row r="64" ht="44" customHeight="1">
      <x:c r="A64" s="3" t="str">
        <x:v>S3-TC011</x:v>
      </x:c>
      <x:c r="B64" s="3" t="str">
        <x:v>F05 Mapbox/vị trí</x:v>
      </x:c>
      <x:c r="C64" s="3" t="str">
        <x:v>Vị trí không khả dụng</x:v>
      </x:c>
      <x:c r="D64" s="3" t="str">
        <x:v>P2</x:v>
      </x:c>
      <x:c r="E64" s="6" t="str">
        <x:v>Not Run</x:v>
      </x:c>
      <x:c r="F64" s="6" t="str"/>
      <x:c r="G64" s="13"/>
      <x:c r="H64" s="6" t="str"/>
      <x:c r="I64" s="6" t="str"/>
      <x:c r="J64" s="6" t="str"/>
      <x:c r="K64" s="6" t="str"/>
      <x:c r="L64" s="6" t="str"/>
      <x:c r="M64" s="6" t="str">
        <x:v>Hoàng Đại Hợp</x:v>
      </x:c>
    </x:row>
    <x:row r="65" ht="44" customHeight="1">
      <x:c r="A65" s="3" t="str">
        <x:v>S3-TC012</x:v>
      </x:c>
      <x:c r="B65" s="3" t="str">
        <x:v>F05 Mapbox/vị trí</x:v>
      </x:c>
      <x:c r="C65" s="3" t="str">
        <x:v>Cấp lại quyền sau từ chối</x:v>
      </x:c>
      <x:c r="D65" s="3" t="str">
        <x:v>P2</x:v>
      </x:c>
      <x:c r="E65" s="6" t="str">
        <x:v>Not Run</x:v>
      </x:c>
      <x:c r="F65" s="6" t="str"/>
      <x:c r="G65" s="13"/>
      <x:c r="H65" s="6" t="str"/>
      <x:c r="I65" s="6" t="str"/>
      <x:c r="J65" s="6" t="str"/>
      <x:c r="K65" s="6" t="str"/>
      <x:c r="L65" s="6" t="str"/>
      <x:c r="M65" s="6" t="str">
        <x:v>Hoàng Đại Hợp</x:v>
      </x:c>
    </x:row>
    <x:row r="66" ht="44" customHeight="1">
      <x:c r="A66" s="3" t="str">
        <x:v>S3-TC013</x:v>
      </x:c>
      <x:c r="B66" s="3" t="str">
        <x:v>F05 Mapbox/vị trí</x:v>
      </x:c>
      <x:c r="C66" s="3" t="str">
        <x:v>Tuyến đường đúng điểm đầu/cuối</x:v>
      </x:c>
      <x:c r="D66" s="3" t="str">
        <x:v>P1</x:v>
      </x:c>
      <x:c r="E66" s="6" t="str">
        <x:v>Not Run</x:v>
      </x:c>
      <x:c r="F66" s="6" t="str"/>
      <x:c r="G66" s="13"/>
      <x:c r="H66" s="6" t="str"/>
      <x:c r="I66" s="6" t="str"/>
      <x:c r="J66" s="6" t="str"/>
      <x:c r="K66" s="6" t="str"/>
      <x:c r="L66" s="6" t="str"/>
      <x:c r="M66" s="6" t="str">
        <x:v>Hoàng Đại Hợp</x:v>
      </x:c>
    </x:row>
    <x:row r="67" ht="44" customHeight="1">
      <x:c r="A67" s="3" t="str">
        <x:v>S3-TC014</x:v>
      </x:c>
      <x:c r="B67" s="3" t="str">
        <x:v>F05 Mapbox/vị trí</x:v>
      </x:c>
      <x:c r="C67" s="3" t="str">
        <x:v>Đơn vị quãng đường và thời gian</x:v>
      </x:c>
      <x:c r="D67" s="3" t="str">
        <x:v>P2</x:v>
      </x:c>
      <x:c r="E67" s="6" t="str">
        <x:v>Not Run</x:v>
      </x:c>
      <x:c r="F67" s="6" t="str"/>
      <x:c r="G67" s="13"/>
      <x:c r="H67" s="6" t="str"/>
      <x:c r="I67" s="6" t="str"/>
      <x:c r="J67" s="6" t="str"/>
      <x:c r="K67" s="6" t="str"/>
      <x:c r="L67" s="6" t="str"/>
      <x:c r="M67" s="6" t="str">
        <x:v>Hoàng Đại Hợp</x:v>
      </x:c>
    </x:row>
    <x:row r="68" ht="44" customHeight="1">
      <x:c r="A68" s="3" t="str">
        <x:v>S3-TC015</x:v>
      </x:c>
      <x:c r="B68" s="3" t="str">
        <x:v>F05 Mapbox/vị trí</x:v>
      </x:c>
      <x:c r="C68" s="3" t="str">
        <x:v>Không có tuyến đường</x:v>
      </x:c>
      <x:c r="D68" s="3" t="str">
        <x:v>P2</x:v>
      </x:c>
      <x:c r="E68" s="6" t="str">
        <x:v>Not Run</x:v>
      </x:c>
      <x:c r="F68" s="6" t="str"/>
      <x:c r="G68" s="13"/>
      <x:c r="H68" s="6" t="str"/>
      <x:c r="I68" s="6" t="str"/>
      <x:c r="J68" s="6" t="str"/>
      <x:c r="K68" s="6" t="str"/>
      <x:c r="L68" s="6" t="str"/>
      <x:c r="M68" s="6" t="str">
        <x:v>Hoàng Đại Hợp</x:v>
      </x:c>
    </x:row>
    <x:row r="69" ht="44" customHeight="1">
      <x:c r="A69" s="3" t="str">
        <x:v>S3-TC016</x:v>
      </x:c>
      <x:c r="B69" s="3" t="str">
        <x:v>F05 Mapbox/vị trí</x:v>
      </x:c>
      <x:c r="C69" s="3" t="str">
        <x:v>Dịch vụ Mapbox lỗi</x:v>
      </x:c>
      <x:c r="D69" s="3" t="str">
        <x:v>P1</x:v>
      </x:c>
      <x:c r="E69" s="6" t="str">
        <x:v>Not Run</x:v>
      </x:c>
      <x:c r="F69" s="6" t="str"/>
      <x:c r="G69" s="13"/>
      <x:c r="H69" s="6" t="str"/>
      <x:c r="I69" s="6" t="str"/>
      <x:c r="J69" s="6" t="str"/>
      <x:c r="K69" s="6" t="str"/>
      <x:c r="L69" s="6" t="str"/>
      <x:c r="M69" s="6" t="str">
        <x:v>Hoàng Đại Hợp</x:v>
      </x:c>
    </x:row>
    <x:row r="70" ht="44" customHeight="1">
      <x:c r="A70" s="3" t="str">
        <x:v>S3-TC017</x:v>
      </x:c>
      <x:c r="B70" s="3" t="str">
        <x:v>F05 Mapbox/vị trí</x:v>
      </x:c>
      <x:c r="C70" s="3" t="str">
        <x:v>Mapbox token sai</x:v>
      </x:c>
      <x:c r="D70" s="3" t="str">
        <x:v>P2</x:v>
      </x:c>
      <x:c r="E70" s="6" t="str">
        <x:v>Not Run</x:v>
      </x:c>
      <x:c r="F70" s="6" t="str"/>
      <x:c r="G70" s="13"/>
      <x:c r="H70" s="6" t="str"/>
      <x:c r="I70" s="6" t="str"/>
      <x:c r="J70" s="6" t="str"/>
      <x:c r="K70" s="6" t="str"/>
      <x:c r="L70" s="6" t="str"/>
      <x:c r="M70" s="6" t="str">
        <x:v>Hoàng Đại Hợp</x:v>
      </x:c>
    </x:row>
    <x:row r="71" ht="44" customHeight="1">
      <x:c r="A71" s="3" t="str">
        <x:v>S3-TC018</x:v>
      </x:c>
      <x:c r="B71" s="3" t="str">
        <x:v>F06 Bình luận</x:v>
      </x:c>
      <x:c r="C71" s="3" t="str">
        <x:v>Gửi bình luận hợp lệ</x:v>
      </x:c>
      <x:c r="D71" s="3" t="str">
        <x:v>P1</x:v>
      </x:c>
      <x:c r="E71" s="6" t="str">
        <x:v>Not Run</x:v>
      </x:c>
      <x:c r="F71" s="6" t="str"/>
      <x:c r="G71" s="13"/>
      <x:c r="H71" s="6" t="str"/>
      <x:c r="I71" s="6" t="str"/>
      <x:c r="J71" s="6" t="str"/>
      <x:c r="K71" s="6" t="str"/>
      <x:c r="L71" s="6" t="str"/>
      <x:c r="M71" s="6" t="str">
        <x:v>Hoàng Đại Hợp</x:v>
      </x:c>
    </x:row>
    <x:row r="72" ht="44" customHeight="1">
      <x:c r="A72" s="3" t="str">
        <x:v>S3-TC019</x:v>
      </x:c>
      <x:c r="B72" s="3" t="str">
        <x:v>F06 Bình luận</x:v>
      </x:c>
      <x:c r="C72" s="3" t="str">
        <x:v>Bình luận rỗng</x:v>
      </x:c>
      <x:c r="D72" s="3" t="str">
        <x:v>P2</x:v>
      </x:c>
      <x:c r="E72" s="6" t="str">
        <x:v>Not Run</x:v>
      </x:c>
      <x:c r="F72" s="6" t="str"/>
      <x:c r="G72" s="13"/>
      <x:c r="H72" s="6" t="str"/>
      <x:c r="I72" s="6" t="str"/>
      <x:c r="J72" s="6" t="str"/>
      <x:c r="K72" s="6" t="str"/>
      <x:c r="L72" s="6" t="str"/>
      <x:c r="M72" s="6" t="str">
        <x:v>Hoàng Đại Hợp</x:v>
      </x:c>
    </x:row>
    <x:row r="73" ht="44" customHeight="1">
      <x:c r="A73" s="3" t="str">
        <x:v>S3-TC020</x:v>
      </x:c>
      <x:c r="B73" s="3" t="str">
        <x:v>F06 Bình luận</x:v>
      </x:c>
      <x:c r="C73" s="3" t="str">
        <x:v>Bình luận chỉ khoảng trắng</x:v>
      </x:c>
      <x:c r="D73" s="3" t="str">
        <x:v>P2</x:v>
      </x:c>
      <x:c r="E73" s="6" t="str">
        <x:v>Not Run</x:v>
      </x:c>
      <x:c r="F73" s="6" t="str"/>
      <x:c r="G73" s="13"/>
      <x:c r="H73" s="6" t="str"/>
      <x:c r="I73" s="6" t="str"/>
      <x:c r="J73" s="6" t="str"/>
      <x:c r="K73" s="6" t="str"/>
      <x:c r="L73" s="6" t="str"/>
      <x:c r="M73" s="6" t="str">
        <x:v>Hoàng Đại Hợp</x:v>
      </x:c>
    </x:row>
    <x:row r="74" ht="44" customHeight="1">
      <x:c r="A74" s="3" t="str">
        <x:v>S3-TC021</x:v>
      </x:c>
      <x:c r="B74" s="3" t="str">
        <x:v>F06 Bình luận</x:v>
      </x:c>
      <x:c r="C74" s="3" t="str">
        <x:v>Bình luận độ dài Cmax</x:v>
      </x:c>
      <x:c r="D74" s="3" t="str">
        <x:v>P2</x:v>
      </x:c>
      <x:c r="E74" s="6" t="str">
        <x:v>Not Run</x:v>
      </x:c>
      <x:c r="F74" s="6" t="str"/>
      <x:c r="G74" s="13"/>
      <x:c r="H74" s="6" t="str"/>
      <x:c r="I74" s="6" t="str"/>
      <x:c r="J74" s="6" t="str"/>
      <x:c r="K74" s="6" t="str"/>
      <x:c r="L74" s="6" t="str"/>
      <x:c r="M74" s="6" t="str">
        <x:v>Hoàng Đại Hợp</x:v>
      </x:c>
    </x:row>
    <x:row r="75" ht="44" customHeight="1">
      <x:c r="A75" s="3" t="str">
        <x:v>S3-TC022</x:v>
      </x:c>
      <x:c r="B75" s="3" t="str">
        <x:v>F06 Bình luận</x:v>
      </x:c>
      <x:c r="C75" s="3" t="str">
        <x:v>Bình luận độ dài Cmax+1</x:v>
      </x:c>
      <x:c r="D75" s="3" t="str">
        <x:v>P2</x:v>
      </x:c>
      <x:c r="E75" s="6" t="str">
        <x:v>Not Run</x:v>
      </x:c>
      <x:c r="F75" s="6" t="str"/>
      <x:c r="G75" s="13"/>
      <x:c r="H75" s="6" t="str"/>
      <x:c r="I75" s="6" t="str"/>
      <x:c r="J75" s="6" t="str"/>
      <x:c r="K75" s="6" t="str"/>
      <x:c r="L75" s="6" t="str"/>
      <x:c r="M75" s="6" t="str">
        <x:v>Hoàng Đại Hợp</x:v>
      </x:c>
    </x:row>
    <x:row r="76" ht="44" customHeight="1">
      <x:c r="A76" s="3" t="str">
        <x:v>S3-TC023</x:v>
      </x:c>
      <x:c r="B76" s="3" t="str">
        <x:v>F06 Bình luận</x:v>
      </x:c>
      <x:c r="C76" s="3" t="str">
        <x:v>Khách không bình luận</x:v>
      </x:c>
      <x:c r="D76" s="3" t="str">
        <x:v>P1</x:v>
      </x:c>
      <x:c r="E76" s="6" t="str">
        <x:v>Not Run</x:v>
      </x:c>
      <x:c r="F76" s="6" t="str"/>
      <x:c r="G76" s="13"/>
      <x:c r="H76" s="6" t="str"/>
      <x:c r="I76" s="6" t="str"/>
      <x:c r="J76" s="6" t="str"/>
      <x:c r="K76" s="6" t="str"/>
      <x:c r="L76" s="6" t="str"/>
      <x:c r="M76" s="6" t="str">
        <x:v>Hoàng Đại Hợp</x:v>
      </x:c>
    </x:row>
    <x:row r="77" ht="44" customHeight="1">
      <x:c r="A77" s="3" t="str">
        <x:v>S3-TC024</x:v>
      </x:c>
      <x:c r="B77" s="3" t="str">
        <x:v>F06 Bình luận</x:v>
      </x:c>
      <x:c r="C77" s="3" t="str">
        <x:v>Bình luận gửi lặp</x:v>
      </x:c>
      <x:c r="D77" s="3" t="str">
        <x:v>P2</x:v>
      </x:c>
      <x:c r="E77" s="6" t="str">
        <x:v>Not Run</x:v>
      </x:c>
      <x:c r="F77" s="6" t="str"/>
      <x:c r="G77" s="13"/>
      <x:c r="H77" s="6" t="str"/>
      <x:c r="I77" s="6" t="str"/>
      <x:c r="J77" s="6" t="str"/>
      <x:c r="K77" s="6" t="str"/>
      <x:c r="L77" s="6" t="str"/>
      <x:c r="M77" s="6" t="str">
        <x:v>Hoàng Đại Hợp</x:v>
      </x:c>
    </x:row>
    <x:row r="78" ht="44" customHeight="1">
      <x:c r="A78" s="3" t="str">
        <x:v>S3-TC025</x:v>
      </x:c>
      <x:c r="B78" s="3" t="str">
        <x:v>F06 Bình luận</x:v>
      </x:c>
      <x:c r="C78" s="3" t="str">
        <x:v>B không sửa bình luận A</x:v>
      </x:c>
      <x:c r="D78" s="3" t="str">
        <x:v>P1</x:v>
      </x:c>
      <x:c r="E78" s="6" t="str">
        <x:v>Not Run</x:v>
      </x:c>
      <x:c r="F78" s="6" t="str"/>
      <x:c r="G78" s="13"/>
      <x:c r="H78" s="6" t="str"/>
      <x:c r="I78" s="6" t="str"/>
      <x:c r="J78" s="6" t="str"/>
      <x:c r="K78" s="6" t="str"/>
      <x:c r="L78" s="6" t="str"/>
      <x:c r="M78" s="6" t="str">
        <x:v>Hoàng Đại Hợp</x:v>
      </x:c>
    </x:row>
    <x:row r="79" ht="44" customHeight="1">
      <x:c r="A79" s="3" t="str">
        <x:v>S3-TC026</x:v>
      </x:c>
      <x:c r="B79" s="3" t="str">
        <x:v>F06 Bình luận</x:v>
      </x:c>
      <x:c r="C79" s="3" t="str">
        <x:v>B không xóa bình luận A</x:v>
      </x:c>
      <x:c r="D79" s="3" t="str">
        <x:v>P1</x:v>
      </x:c>
      <x:c r="E79" s="6" t="str">
        <x:v>Not Run</x:v>
      </x:c>
      <x:c r="F79" s="6" t="str"/>
      <x:c r="G79" s="13"/>
      <x:c r="H79" s="6" t="str"/>
      <x:c r="I79" s="6" t="str"/>
      <x:c r="J79" s="6" t="str"/>
      <x:c r="K79" s="6" t="str"/>
      <x:c r="L79" s="6" t="str"/>
      <x:c r="M79" s="6" t="str">
        <x:v>Hoàng Đại Hợp</x:v>
      </x:c>
    </x:row>
    <x:row r="80" ht="44" customHeight="1">
      <x:c r="A80" s="3" t="str">
        <x:v>S3-TC027</x:v>
      </x:c>
      <x:c r="B80" s="3" t="str">
        <x:v>F06 Bình luận</x:v>
      </x:c>
      <x:c r="C80" s="3" t="str">
        <x:v>Nội dung bình luận được hiển thị an toàn</x:v>
      </x:c>
      <x:c r="D80" s="3" t="str">
        <x:v>P1</x:v>
      </x:c>
      <x:c r="E80" s="6" t="str">
        <x:v>Not Run</x:v>
      </x:c>
      <x:c r="F80" s="6" t="str"/>
      <x:c r="G80" s="13"/>
      <x:c r="H80" s="6" t="str"/>
      <x:c r="I80" s="6" t="str"/>
      <x:c r="J80" s="6" t="str"/>
      <x:c r="K80" s="6" t="str"/>
      <x:c r="L80" s="6" t="str"/>
      <x:c r="M80" s="6" t="str">
        <x:v>Hoàng Đại Hợp</x:v>
      </x:c>
    </x:row>
    <x:row r="81" ht="44" customHeight="1">
      <x:c r="A81" s="3" t="str">
        <x:v>S3-TC028</x:v>
      </x:c>
      <x:c r="B81" s="3" t="str">
        <x:v>F06 Đánh giá</x:v>
      </x:c>
      <x:c r="C81" s="3" t="str">
        <x:v>Gửi đánh giá hợp lệ</x:v>
      </x:c>
      <x:c r="D81" s="3" t="str">
        <x:v>P1</x:v>
      </x:c>
      <x:c r="E81" s="6" t="str">
        <x:v>Not Run</x:v>
      </x:c>
      <x:c r="F81" s="6" t="str"/>
      <x:c r="G81" s="13"/>
      <x:c r="H81" s="6" t="str"/>
      <x:c r="I81" s="6" t="str"/>
      <x:c r="J81" s="6" t="str"/>
      <x:c r="K81" s="6" t="str"/>
      <x:c r="L81" s="6" t="str"/>
      <x:c r="M81" s="6" t="str">
        <x:v>Hoàng Đại Hợp</x:v>
      </x:c>
    </x:row>
    <x:row r="82" ht="44" customHeight="1">
      <x:c r="A82" s="3" t="str">
        <x:v>S3-TC029</x:v>
      </x:c>
      <x:c r="B82" s="3" t="str">
        <x:v>F06 Đánh giá</x:v>
      </x:c>
      <x:c r="C82" s="3" t="str">
        <x:v>Điểm đánh giá dưới min</x:v>
      </x:c>
      <x:c r="D82" s="3" t="str">
        <x:v>P2</x:v>
      </x:c>
      <x:c r="E82" s="6" t="str">
        <x:v>Not Run</x:v>
      </x:c>
      <x:c r="F82" s="6" t="str"/>
      <x:c r="G82" s="13"/>
      <x:c r="H82" s="6" t="str"/>
      <x:c r="I82" s="6" t="str"/>
      <x:c r="J82" s="6" t="str"/>
      <x:c r="K82" s="6" t="str"/>
      <x:c r="L82" s="6" t="str"/>
      <x:c r="M82" s="6" t="str">
        <x:v>Hoàng Đại Hợp</x:v>
      </x:c>
    </x:row>
    <x:row r="83" ht="44" customHeight="1">
      <x:c r="A83" s="3" t="str">
        <x:v>S3-TC030</x:v>
      </x:c>
      <x:c r="B83" s="3" t="str">
        <x:v>F06 Đánh giá</x:v>
      </x:c>
      <x:c r="C83" s="3" t="str">
        <x:v>Điểm đánh giá tại min</x:v>
      </x:c>
      <x:c r="D83" s="3" t="str">
        <x:v>P2</x:v>
      </x:c>
      <x:c r="E83" s="6" t="str">
        <x:v>Not Run</x:v>
      </x:c>
      <x:c r="F83" s="6" t="str"/>
      <x:c r="G83" s="13"/>
      <x:c r="H83" s="6" t="str"/>
      <x:c r="I83" s="6" t="str"/>
      <x:c r="J83" s="6" t="str"/>
      <x:c r="K83" s="6" t="str"/>
      <x:c r="L83" s="6" t="str"/>
      <x:c r="M83" s="6" t="str">
        <x:v>Hoàng Đại Hợp</x:v>
      </x:c>
    </x:row>
    <x:row r="84" ht="44" customHeight="1">
      <x:c r="A84" s="3" t="str">
        <x:v>S3-TC031</x:v>
      </x:c>
      <x:c r="B84" s="3" t="str">
        <x:v>F06 Đánh giá</x:v>
      </x:c>
      <x:c r="C84" s="3" t="str">
        <x:v>Điểm đánh giá tại max</x:v>
      </x:c>
      <x:c r="D84" s="3" t="str">
        <x:v>P2</x:v>
      </x:c>
      <x:c r="E84" s="6" t="str">
        <x:v>Not Run</x:v>
      </x:c>
      <x:c r="F84" s="6" t="str"/>
      <x:c r="G84" s="13"/>
      <x:c r="H84" s="6" t="str"/>
      <x:c r="I84" s="6" t="str"/>
      <x:c r="J84" s="6" t="str"/>
      <x:c r="K84" s="6" t="str"/>
      <x:c r="L84" s="6" t="str"/>
      <x:c r="M84" s="6" t="str">
        <x:v>Hoàng Đại Hợp</x:v>
      </x:c>
    </x:row>
    <x:row r="85" ht="44" customHeight="1">
      <x:c r="A85" s="3" t="str">
        <x:v>S3-TC032</x:v>
      </x:c>
      <x:c r="B85" s="3" t="str">
        <x:v>F06 Đánh giá</x:v>
      </x:c>
      <x:c r="C85" s="3" t="str">
        <x:v>Điểm đánh giá vượt max</x:v>
      </x:c>
      <x:c r="D85" s="3" t="str">
        <x:v>P2</x:v>
      </x:c>
      <x:c r="E85" s="6" t="str">
        <x:v>Not Run</x:v>
      </x:c>
      <x:c r="F85" s="6" t="str"/>
      <x:c r="G85" s="13"/>
      <x:c r="H85" s="6" t="str"/>
      <x:c r="I85" s="6" t="str"/>
      <x:c r="J85" s="6" t="str"/>
      <x:c r="K85" s="6" t="str"/>
      <x:c r="L85" s="6" t="str"/>
      <x:c r="M85" s="6" t="str">
        <x:v>Hoàng Đại Hợp</x:v>
      </x:c>
    </x:row>
    <x:row r="86" ht="44" customHeight="1">
      <x:c r="A86" s="3" t="str">
        <x:v>S3-TC033</x:v>
      </x:c>
      <x:c r="B86" s="3" t="str">
        <x:v>F06 Đánh giá</x:v>
      </x:c>
      <x:c r="C86" s="3" t="str">
        <x:v>Điểm đánh giá sai kiểu</x:v>
      </x:c>
      <x:c r="D86" s="3" t="str">
        <x:v>P2</x:v>
      </x:c>
      <x:c r="E86" s="6" t="str">
        <x:v>Not Run</x:v>
      </x:c>
      <x:c r="F86" s="6" t="str"/>
      <x:c r="G86" s="13"/>
      <x:c r="H86" s="6" t="str"/>
      <x:c r="I86" s="6" t="str"/>
      <x:c r="J86" s="6" t="str"/>
      <x:c r="K86" s="6" t="str"/>
      <x:c r="L86" s="6" t="str"/>
      <x:c r="M86" s="6" t="str">
        <x:v>Hoàng Đại Hợp</x:v>
      </x:c>
    </x:row>
    <x:row r="87" ht="44" customHeight="1">
      <x:c r="A87" s="3" t="str">
        <x:v>S3-TC034</x:v>
      </x:c>
      <x:c r="B87" s="3" t="str">
        <x:v>F06 Đánh giá</x:v>
      </x:c>
      <x:c r="C87" s="3" t="str">
        <x:v>Đánh giá thiếu điểm</x:v>
      </x:c>
      <x:c r="D87" s="3" t="str">
        <x:v>P2</x:v>
      </x:c>
      <x:c r="E87" s="6" t="str">
        <x:v>Not Run</x:v>
      </x:c>
      <x:c r="F87" s="6" t="str"/>
      <x:c r="G87" s="13"/>
      <x:c r="H87" s="6" t="str"/>
      <x:c r="I87" s="6" t="str"/>
      <x:c r="J87" s="6" t="str"/>
      <x:c r="K87" s="6" t="str"/>
      <x:c r="L87" s="6" t="str"/>
      <x:c r="M87" s="6" t="str">
        <x:v>Hoàng Đại Hợp</x:v>
      </x:c>
    </x:row>
    <x:row r="88" ht="44" customHeight="1">
      <x:c r="A88" s="3" t="str">
        <x:v>S3-TC035</x:v>
      </x:c>
      <x:c r="B88" s="3" t="str">
        <x:v>F06 Đánh giá</x:v>
      </x:c>
      <x:c r="C88" s="3" t="str">
        <x:v>Đánh giá lặp của cùng người</x:v>
      </x:c>
      <x:c r="D88" s="3" t="str">
        <x:v>P1</x:v>
      </x:c>
      <x:c r="E88" s="6" t="str">
        <x:v>Not Run</x:v>
      </x:c>
      <x:c r="F88" s="6" t="str"/>
      <x:c r="G88" s="13"/>
      <x:c r="H88" s="6" t="str"/>
      <x:c r="I88" s="6" t="str"/>
      <x:c r="J88" s="6" t="str"/>
      <x:c r="K88" s="6" t="str"/>
      <x:c r="L88" s="6" t="str"/>
      <x:c r="M88" s="6" t="str">
        <x:v>Hoàng Đại Hợp</x:v>
      </x:c>
    </x:row>
    <x:row r="89" ht="44" customHeight="1">
      <x:c r="A89" s="3" t="str">
        <x:v>S3-TC036</x:v>
      </x:c>
      <x:c r="B89" s="3" t="str">
        <x:v>F06 Đánh giá</x:v>
      </x:c>
      <x:c r="C89" s="3" t="str">
        <x:v>Khách không đánh giá</x:v>
      </x:c>
      <x:c r="D89" s="3" t="str">
        <x:v>P1</x:v>
      </x:c>
      <x:c r="E89" s="6" t="str">
        <x:v>Not Run</x:v>
      </x:c>
      <x:c r="F89" s="6" t="str"/>
      <x:c r="G89" s="13"/>
      <x:c r="H89" s="6" t="str"/>
      <x:c r="I89" s="6" t="str"/>
      <x:c r="J89" s="6" t="str"/>
      <x:c r="K89" s="6" t="str"/>
      <x:c r="L89" s="6" t="str"/>
      <x:c r="M89" s="6" t="str">
        <x:v>Hoàng Đại Hợp</x:v>
      </x:c>
    </x:row>
    <x:row r="90" ht="44" customHeight="1">
      <x:c r="A90" s="3" t="str">
        <x:v>S3-TC037</x:v>
      </x:c>
      <x:c r="B90" s="3" t="str">
        <x:v>F06 Báo cáo</x:v>
      </x:c>
      <x:c r="C90" s="3" t="str">
        <x:v>Gửi báo cáo hợp lệ</x:v>
      </x:c>
      <x:c r="D90" s="3" t="str">
        <x:v>P1</x:v>
      </x:c>
      <x:c r="E90" s="6" t="str">
        <x:v>Not Run</x:v>
      </x:c>
      <x:c r="F90" s="6" t="str"/>
      <x:c r="G90" s="13"/>
      <x:c r="H90" s="6" t="str"/>
      <x:c r="I90" s="6" t="str"/>
      <x:c r="J90" s="6" t="str"/>
      <x:c r="K90" s="6" t="str"/>
      <x:c r="L90" s="6" t="str"/>
      <x:c r="M90" s="6" t="str">
        <x:v>Hoàng Đại Hợp</x:v>
      </x:c>
    </x:row>
    <x:row r="91" ht="44" customHeight="1">
      <x:c r="A91" s="3" t="str">
        <x:v>S3-TC038</x:v>
      </x:c>
      <x:c r="B91" s="3" t="str">
        <x:v>F06 Báo cáo</x:v>
      </x:c>
      <x:c r="C91" s="3" t="str">
        <x:v>Báo cáo thiếu lý do</x:v>
      </x:c>
      <x:c r="D91" s="3" t="str">
        <x:v>P2</x:v>
      </x:c>
      <x:c r="E91" s="6" t="str">
        <x:v>Not Run</x:v>
      </x:c>
      <x:c r="F91" s="6" t="str"/>
      <x:c r="G91" s="13"/>
      <x:c r="H91" s="6" t="str"/>
      <x:c r="I91" s="6" t="str"/>
      <x:c r="J91" s="6" t="str"/>
      <x:c r="K91" s="6" t="str"/>
      <x:c r="L91" s="6" t="str"/>
      <x:c r="M91" s="6" t="str">
        <x:v>Hoàng Đại Hợp</x:v>
      </x:c>
    </x:row>
    <x:row r="92" ht="44" customHeight="1">
      <x:c r="A92" s="3" t="str">
        <x:v>S3-TC039</x:v>
      </x:c>
      <x:c r="B92" s="3" t="str">
        <x:v>F06 Báo cáo</x:v>
      </x:c>
      <x:c r="C92" s="3" t="str">
        <x:v>Báo cáo vượt giới hạn nội dung</x:v>
      </x:c>
      <x:c r="D92" s="3" t="str">
        <x:v>P2</x:v>
      </x:c>
      <x:c r="E92" s="6" t="str">
        <x:v>Not Run</x:v>
      </x:c>
      <x:c r="F92" s="6" t="str"/>
      <x:c r="G92" s="13"/>
      <x:c r="H92" s="6" t="str"/>
      <x:c r="I92" s="6" t="str"/>
      <x:c r="J92" s="6" t="str"/>
      <x:c r="K92" s="6" t="str"/>
      <x:c r="L92" s="6" t="str"/>
      <x:c r="M92" s="6" t="str">
        <x:v>Hoàng Đại Hợp</x:v>
      </x:c>
    </x:row>
    <x:row r="93" ht="44" customHeight="1">
      <x:c r="A93" s="3" t="str">
        <x:v>S3-TC040</x:v>
      </x:c>
      <x:c r="B93" s="3" t="str">
        <x:v>F06 Báo cáo</x:v>
      </x:c>
      <x:c r="C93" s="3" t="str">
        <x:v>Báo cáo gửi lặp</x:v>
      </x:c>
      <x:c r="D93" s="3" t="str">
        <x:v>P2</x:v>
      </x:c>
      <x:c r="E93" s="6" t="str">
        <x:v>Not Run</x:v>
      </x:c>
      <x:c r="F93" s="6" t="str"/>
      <x:c r="G93" s="13"/>
      <x:c r="H93" s="6" t="str"/>
      <x:c r="I93" s="6" t="str"/>
      <x:c r="J93" s="6" t="str"/>
      <x:c r="K93" s="6" t="str"/>
      <x:c r="L93" s="6" t="str"/>
      <x:c r="M93" s="6" t="str">
        <x:v>Hoàng Đại Hợp</x:v>
      </x:c>
    </x:row>
    <x:row r="94" ht="44" customHeight="1">
      <x:c r="A94" s="3" t="str">
        <x:v>S3-TC041</x:v>
      </x:c>
      <x:c r="B94" s="3" t="str">
        <x:v>F06 Báo cáo</x:v>
      </x:c>
      <x:c r="C94" s="3" t="str">
        <x:v>Khách không gửi báo cáo cần xác thực</x:v>
      </x:c>
      <x:c r="D94" s="3" t="str">
        <x:v>P1</x:v>
      </x:c>
      <x:c r="E94" s="6" t="str">
        <x:v>Not Run</x:v>
      </x:c>
      <x:c r="F94" s="6" t="str"/>
      <x:c r="G94" s="13"/>
      <x:c r="H94" s="6" t="str"/>
      <x:c r="I94" s="6" t="str"/>
      <x:c r="J94" s="6" t="str"/>
      <x:c r="K94" s="6" t="str"/>
      <x:c r="L94" s="6" t="str"/>
      <x:c r="M94" s="6" t="str">
        <x:v>Hoàng Đại Hợp</x:v>
      </x:c>
    </x:row>
    <x:row r="95" ht="44" customHeight="1">
      <x:c r="A95" s="3" t="str">
        <x:v>S3-TC042</x:v>
      </x:c>
      <x:c r="B95" s="3" t="str">
        <x:v>F07 Gói</x:v>
      </x:c>
      <x:c r="C95" s="3" t="str">
        <x:v>Danh sách gói đúng cấu hình</x:v>
      </x:c>
      <x:c r="D95" s="3" t="str">
        <x:v>P1</x:v>
      </x:c>
      <x:c r="E95" s="6" t="str">
        <x:v>Not Run</x:v>
      </x:c>
      <x:c r="F95" s="6" t="str"/>
      <x:c r="G95" s="13"/>
      <x:c r="H95" s="6" t="str"/>
      <x:c r="I95" s="6" t="str"/>
      <x:c r="J95" s="6" t="str"/>
      <x:c r="K95" s="6" t="str"/>
      <x:c r="L95" s="6" t="str"/>
      <x:c r="M95" s="6" t="str">
        <x:v>Hoàng Đại Hợp</x:v>
      </x:c>
    </x:row>
    <x:row r="96" ht="44" customHeight="1">
      <x:c r="A96" s="3" t="str">
        <x:v>S3-TC043</x:v>
      </x:c>
      <x:c r="B96" s="3" t="str">
        <x:v>F07 Gói</x:v>
      </x:c>
      <x:c r="C96" s="3" t="str">
        <x:v>Xác nhận mua đúng gói</x:v>
      </x:c>
      <x:c r="D96" s="3" t="str">
        <x:v>P1</x:v>
      </x:c>
      <x:c r="E96" s="6" t="str">
        <x:v>Not Run</x:v>
      </x:c>
      <x:c r="F96" s="6" t="str"/>
      <x:c r="G96" s="13"/>
      <x:c r="H96" s="6" t="str"/>
      <x:c r="I96" s="6" t="str"/>
      <x:c r="J96" s="6" t="str"/>
      <x:c r="K96" s="6" t="str"/>
      <x:c r="L96" s="6" t="str"/>
      <x:c r="M96" s="6" t="str">
        <x:v>Hoàng Đại Hợp</x:v>
      </x:c>
    </x:row>
    <x:row r="97" ht="44" customHeight="1">
      <x:c r="A97" s="3" t="str">
        <x:v>S3-TC044</x:v>
      </x:c>
      <x:c r="B97" s="3" t="str">
        <x:v>F07 Gói</x:v>
      </x:c>
      <x:c r="C97" s="3" t="str">
        <x:v>Khách mua gói</x:v>
      </x:c>
      <x:c r="D97" s="3" t="str">
        <x:v>P1</x:v>
      </x:c>
      <x:c r="E97" s="6" t="str">
        <x:v>Not Run</x:v>
      </x:c>
      <x:c r="F97" s="6" t="str"/>
      <x:c r="G97" s="13"/>
      <x:c r="H97" s="6" t="str"/>
      <x:c r="I97" s="6" t="str"/>
      <x:c r="J97" s="6" t="str"/>
      <x:c r="K97" s="6" t="str"/>
      <x:c r="L97" s="6" t="str"/>
      <x:c r="M97" s="6" t="str">
        <x:v>Hoàng Đại Hợp</x:v>
      </x:c>
    </x:row>
    <x:row r="98" ht="44" customHeight="1">
      <x:c r="A98" s="3" t="str">
        <x:v>S3-TC045</x:v>
      </x:c>
      <x:c r="B98" s="3" t="str">
        <x:v>F07 Gói</x:v>
      </x:c>
      <x:c r="C98" s="3" t="str">
        <x:v>Sửa giá từ client</x:v>
      </x:c>
      <x:c r="D98" s="3" t="str">
        <x:v>P1</x:v>
      </x:c>
      <x:c r="E98" s="6" t="str">
        <x:v>Not Run</x:v>
      </x:c>
      <x:c r="F98" s="6" t="str"/>
      <x:c r="G98" s="13"/>
      <x:c r="H98" s="6" t="str"/>
      <x:c r="I98" s="6" t="str"/>
      <x:c r="J98" s="6" t="str"/>
      <x:c r="K98" s="6" t="str"/>
      <x:c r="L98" s="6" t="str"/>
      <x:c r="M98" s="6" t="str">
        <x:v>Hoàng Đại Hợp</x:v>
      </x:c>
    </x:row>
    <x:row r="99" ht="44" customHeight="1">
      <x:c r="A99" s="3" t="str">
        <x:v>S3-TC046</x:v>
      </x:c>
      <x:c r="B99" s="3" t="str">
        <x:v>F07 Gói</x:v>
      </x:c>
      <x:c r="C99" s="3" t="str">
        <x:v>Gói không tồn tại/ngừng bán</x:v>
      </x:c>
      <x:c r="D99" s="3" t="str">
        <x:v>P1</x:v>
      </x:c>
      <x:c r="E99" s="6" t="str">
        <x:v>Not Run</x:v>
      </x:c>
      <x:c r="F99" s="6" t="str"/>
      <x:c r="G99" s="13"/>
      <x:c r="H99" s="6" t="str"/>
      <x:c r="I99" s="6" t="str"/>
      <x:c r="J99" s="6" t="str"/>
      <x:c r="K99" s="6" t="str"/>
      <x:c r="L99" s="6" t="str"/>
      <x:c r="M99" s="6" t="str">
        <x:v>Hoàng Đại Hợp</x:v>
      </x:c>
    </x:row>
    <x:row r="100" ht="44" customHeight="1">
      <x:c r="A100" s="3" t="str">
        <x:v>S3-TC047</x:v>
      </x:c>
      <x:c r="B100" s="3" t="str">
        <x:v>F07 Thanh toán</x:v>
      </x:c>
      <x:c r="C100" s="3" t="str">
        <x:v>Thanh toán thành công</x:v>
      </x:c>
      <x:c r="D100" s="3" t="str">
        <x:v>P1</x:v>
      </x:c>
      <x:c r="E100" s="6" t="str">
        <x:v>Not Run</x:v>
      </x:c>
      <x:c r="F100" s="6" t="str"/>
      <x:c r="G100" s="13"/>
      <x:c r="H100" s="6" t="str"/>
      <x:c r="I100" s="6" t="str"/>
      <x:c r="J100" s="6" t="str"/>
      <x:c r="K100" s="6" t="str"/>
      <x:c r="L100" s="6" t="str"/>
      <x:c r="M100" s="6" t="str">
        <x:v>Hoàng Đại Hợp</x:v>
      </x:c>
    </x:row>
    <x:row r="101" ht="44" customHeight="1">
      <x:c r="A101" s="3" t="str">
        <x:v>S3-TC048</x:v>
      </x:c>
      <x:c r="B101" s="3" t="str">
        <x:v>F07 Thanh toán</x:v>
      </x:c>
      <x:c r="C101" s="3" t="str">
        <x:v>Thanh toán bị hủy</x:v>
      </x:c>
      <x:c r="D101" s="3" t="str">
        <x:v>P1</x:v>
      </x:c>
      <x:c r="E101" s="6" t="str">
        <x:v>Not Run</x:v>
      </x:c>
      <x:c r="F101" s="6" t="str"/>
      <x:c r="G101" s="13"/>
      <x:c r="H101" s="6" t="str"/>
      <x:c r="I101" s="6" t="str"/>
      <x:c r="J101" s="6" t="str"/>
      <x:c r="K101" s="6" t="str"/>
      <x:c r="L101" s="6" t="str"/>
      <x:c r="M101" s="6" t="str">
        <x:v>Hoàng Đại Hợp</x:v>
      </x:c>
    </x:row>
    <x:row r="102" ht="44" customHeight="1">
      <x:c r="A102" s="3" t="str">
        <x:v>S3-TC049</x:v>
      </x:c>
      <x:c r="B102" s="3" t="str">
        <x:v>F07 Thanh toán</x:v>
      </x:c>
      <x:c r="C102" s="3" t="str">
        <x:v>Thanh toán thất bại</x:v>
      </x:c>
      <x:c r="D102" s="3" t="str">
        <x:v>P1</x:v>
      </x:c>
      <x:c r="E102" s="6" t="str">
        <x:v>Not Run</x:v>
      </x:c>
      <x:c r="F102" s="6" t="str"/>
      <x:c r="G102" s="13"/>
      <x:c r="H102" s="6" t="str"/>
      <x:c r="I102" s="6" t="str"/>
      <x:c r="J102" s="6" t="str"/>
      <x:c r="K102" s="6" t="str"/>
      <x:c r="L102" s="6" t="str"/>
      <x:c r="M102" s="6" t="str">
        <x:v>Hoàng Đại Hợp</x:v>
      </x:c>
    </x:row>
    <x:row r="103" ht="44" customHeight="1">
      <x:c r="A103" s="3" t="str">
        <x:v>S3-TC050</x:v>
      </x:c>
      <x:c r="B103" s="3" t="str">
        <x:v>F07 Thanh toán</x:v>
      </x:c>
      <x:c r="C103" s="3" t="str">
        <x:v>Giao dịch chờ xử lý</x:v>
      </x:c>
      <x:c r="D103" s="3" t="str">
        <x:v>P1</x:v>
      </x:c>
      <x:c r="E103" s="6" t="str">
        <x:v>Not Run</x:v>
      </x:c>
      <x:c r="F103" s="6" t="str"/>
      <x:c r="G103" s="13"/>
      <x:c r="H103" s="6" t="str"/>
      <x:c r="I103" s="6" t="str"/>
      <x:c r="J103" s="6" t="str"/>
      <x:c r="K103" s="6" t="str"/>
      <x:c r="L103" s="6" t="str"/>
      <x:c r="M103" s="6" t="str">
        <x:v>Hoàng Đại Hợp</x:v>
      </x:c>
    </x:row>
    <x:row r="104" ht="44" customHeight="1">
      <x:c r="A104" s="3" t="str">
        <x:v>S3-TC051</x:v>
      </x:c>
      <x:c r="B104" s="3" t="str">
        <x:v>F07 Thanh toán</x:v>
      </x:c>
      <x:c r="C104" s="3" t="str">
        <x:v>Callback thành công trễ</x:v>
      </x:c>
      <x:c r="D104" s="3" t="str">
        <x:v>P1</x:v>
      </x:c>
      <x:c r="E104" s="6" t="str">
        <x:v>Not Run</x:v>
      </x:c>
      <x:c r="F104" s="6" t="str"/>
      <x:c r="G104" s="13"/>
      <x:c r="H104" s="6" t="str"/>
      <x:c r="I104" s="6" t="str"/>
      <x:c r="J104" s="6" t="str"/>
      <x:c r="K104" s="6" t="str"/>
      <x:c r="L104" s="6" t="str"/>
      <x:c r="M104" s="6" t="str">
        <x:v>Hoàng Đại Hợp</x:v>
      </x:c>
    </x:row>
    <x:row r="105" ht="44" customHeight="1">
      <x:c r="A105" s="3" t="str">
        <x:v>S3-TC052</x:v>
      </x:c>
      <x:c r="B105" s="3" t="str">
        <x:v>F07 Thanh toán</x:v>
      </x:c>
      <x:c r="C105" s="3" t="str">
        <x:v>Callback không hợp lệ</x:v>
      </x:c>
      <x:c r="D105" s="3" t="str">
        <x:v>P1</x:v>
      </x:c>
      <x:c r="E105" s="6" t="str">
        <x:v>Not Run</x:v>
      </x:c>
      <x:c r="F105" s="6" t="str"/>
      <x:c r="G105" s="13"/>
      <x:c r="H105" s="6" t="str"/>
      <x:c r="I105" s="6" t="str"/>
      <x:c r="J105" s="6" t="str"/>
      <x:c r="K105" s="6" t="str"/>
      <x:c r="L105" s="6" t="str"/>
      <x:c r="M105" s="6" t="str">
        <x:v>Hoàng Đại Hợp</x:v>
      </x:c>
    </x:row>
    <x:row r="106" ht="44" customHeight="1">
      <x:c r="A106" s="3" t="str">
        <x:v>S3-TC053</x:v>
      </x:c>
      <x:c r="B106" s="3" t="str">
        <x:v>F07 Thanh toán</x:v>
      </x:c>
      <x:c r="C106" s="3" t="str">
        <x:v>Callback sai số tiền</x:v>
      </x:c>
      <x:c r="D106" s="3" t="str">
        <x:v>P1</x:v>
      </x:c>
      <x:c r="E106" s="6" t="str">
        <x:v>Not Run</x:v>
      </x:c>
      <x:c r="F106" s="6" t="str"/>
      <x:c r="G106" s="13"/>
      <x:c r="H106" s="6" t="str"/>
      <x:c r="I106" s="6" t="str"/>
      <x:c r="J106" s="6" t="str"/>
      <x:c r="K106" s="6" t="str"/>
      <x:c r="L106" s="6" t="str"/>
      <x:c r="M106" s="6" t="str">
        <x:v>Hoàng Đại Hợp</x:v>
      </x:c>
    </x:row>
    <x:row r="107" ht="44" customHeight="1">
      <x:c r="A107" s="3" t="str">
        <x:v>S3-TC054</x:v>
      </x:c>
      <x:c r="B107" s="3" t="str">
        <x:v>F07 Thanh toán</x:v>
      </x:c>
      <x:c r="C107" s="3" t="str">
        <x:v>Callback mã giao dịch lạ</x:v>
      </x:c>
      <x:c r="D107" s="3" t="str">
        <x:v>P1</x:v>
      </x:c>
      <x:c r="E107" s="6" t="str">
        <x:v>Not Run</x:v>
      </x:c>
      <x:c r="F107" s="6" t="str"/>
      <x:c r="G107" s="13"/>
      <x:c r="H107" s="6" t="str"/>
      <x:c r="I107" s="6" t="str"/>
      <x:c r="J107" s="6" t="str"/>
      <x:c r="K107" s="6" t="str"/>
      <x:c r="L107" s="6" t="str"/>
      <x:c r="M107" s="6" t="str">
        <x:v>Hoàng Đại Hợp</x:v>
      </x:c>
    </x:row>
    <x:row r="108" ht="44" customHeight="1">
      <x:c r="A108" s="3" t="str">
        <x:v>S3-TC055</x:v>
      </x:c>
      <x:c r="B108" s="3" t="str">
        <x:v>F07 Thanh toán</x:v>
      </x:c>
      <x:c r="C108" s="3" t="str">
        <x:v>Callback thành công lặp</x:v>
      </x:c>
      <x:c r="D108" s="3" t="str">
        <x:v>P1</x:v>
      </x:c>
      <x:c r="E108" s="6" t="str">
        <x:v>Not Run</x:v>
      </x:c>
      <x:c r="F108" s="6" t="str"/>
      <x:c r="G108" s="13"/>
      <x:c r="H108" s="6" t="str"/>
      <x:c r="I108" s="6" t="str"/>
      <x:c r="J108" s="6" t="str"/>
      <x:c r="K108" s="6" t="str"/>
      <x:c r="L108" s="6" t="str"/>
      <x:c r="M108" s="6" t="str">
        <x:v>Hoàng Đại Hợp</x:v>
      </x:c>
    </x:row>
    <x:row r="109" ht="44" customHeight="1">
      <x:c r="A109" s="3" t="str">
        <x:v>S3-TC056</x:v>
      </x:c>
      <x:c r="B109" s="3" t="str">
        <x:v>F07 Thanh toán</x:v>
      </x:c>
      <x:c r="C109" s="3" t="str">
        <x:v>Callback thất bại sau thành công</x:v>
      </x:c>
      <x:c r="D109" s="3" t="str">
        <x:v>P1</x:v>
      </x:c>
      <x:c r="E109" s="6" t="str">
        <x:v>Not Run</x:v>
      </x:c>
      <x:c r="F109" s="6" t="str"/>
      <x:c r="G109" s="13"/>
      <x:c r="H109" s="6" t="str"/>
      <x:c r="I109" s="6" t="str"/>
      <x:c r="J109" s="6" t="str"/>
      <x:c r="K109" s="6" t="str"/>
      <x:c r="L109" s="6" t="str"/>
      <x:c r="M109" s="6" t="str">
        <x:v>Hoàng Đại Hợp</x:v>
      </x:c>
    </x:row>
    <x:row r="110" ht="44" customHeight="1">
      <x:c r="A110" s="3" t="str">
        <x:v>S3-TC057</x:v>
      </x:c>
      <x:c r="B110" s="3" t="str">
        <x:v>F07 Thanh toán</x:v>
      </x:c>
      <x:c r="C110" s="3" t="str">
        <x:v>Bấm mua gói liên tiếp</x:v>
      </x:c>
      <x:c r="D110" s="3" t="str">
        <x:v>P1</x:v>
      </x:c>
      <x:c r="E110" s="6" t="str">
        <x:v>Not Run</x:v>
      </x:c>
      <x:c r="F110" s="6" t="str"/>
      <x:c r="G110" s="13"/>
      <x:c r="H110" s="6" t="str"/>
      <x:c r="I110" s="6" t="str"/>
      <x:c r="J110" s="6" t="str"/>
      <x:c r="K110" s="6" t="str"/>
      <x:c r="L110" s="6" t="str"/>
      <x:c r="M110" s="6" t="str">
        <x:v>Hoàng Đại Hợp</x:v>
      </x:c>
    </x:row>
    <x:row r="111" ht="44" customHeight="1">
      <x:c r="A111" s="3" t="str">
        <x:v>S3-TC058</x:v>
      </x:c>
      <x:c r="B111" s="3" t="str">
        <x:v>F07 Gói/giao dịch</x:v>
      </x:c>
      <x:c r="C111" s="3" t="str">
        <x:v>Quyền lợi gói sau mua</x:v>
      </x:c>
      <x:c r="D111" s="3" t="str">
        <x:v>P1</x:v>
      </x:c>
      <x:c r="E111" s="6" t="str">
        <x:v>Not Run</x:v>
      </x:c>
      <x:c r="F111" s="6" t="str"/>
      <x:c r="G111" s="13"/>
      <x:c r="H111" s="6" t="str"/>
      <x:c r="I111" s="6" t="str"/>
      <x:c r="J111" s="6" t="str"/>
      <x:c r="K111" s="6" t="str"/>
      <x:c r="L111" s="6" t="str"/>
      <x:c r="M111" s="6" t="str">
        <x:v>Hoàng Đại Hợp</x:v>
      </x:c>
    </x:row>
    <x:row r="112" ht="44" customHeight="1">
      <x:c r="A112" s="3" t="str">
        <x:v>S3-TC059</x:v>
      </x:c>
      <x:c r="B112" s="3" t="str">
        <x:v>F07 Gói/giao dịch</x:v>
      </x:c>
      <x:c r="C112" s="3" t="str">
        <x:v>Gói hết hạn</x:v>
      </x:c>
      <x:c r="D112" s="3" t="str">
        <x:v>P1</x:v>
      </x:c>
      <x:c r="E112" s="6" t="str">
        <x:v>Not Run</x:v>
      </x:c>
      <x:c r="F112" s="6" t="str"/>
      <x:c r="G112" s="13"/>
      <x:c r="H112" s="6" t="str"/>
      <x:c r="I112" s="6" t="str"/>
      <x:c r="J112" s="6" t="str"/>
      <x:c r="K112" s="6" t="str"/>
      <x:c r="L112" s="6" t="str"/>
      <x:c r="M112" s="6" t="str">
        <x:v>Hoàng Đại Hợp</x:v>
      </x:c>
    </x:row>
    <x:row r="113" ht="44" customHeight="1">
      <x:c r="A113" s="3" t="str">
        <x:v>S3-TC060</x:v>
      </x:c>
      <x:c r="B113" s="3" t="str">
        <x:v>F07 Gói/giao dịch</x:v>
      </x:c>
      <x:c r="C113" s="3" t="str">
        <x:v>Lịch sử giao dịch đúng người</x:v>
      </x:c>
      <x:c r="D113" s="3" t="str">
        <x:v>P1</x:v>
      </x:c>
      <x:c r="E113" s="6" t="str">
        <x:v>Not Run</x:v>
      </x:c>
      <x:c r="F113" s="6" t="str"/>
      <x:c r="G113" s="13"/>
      <x:c r="H113" s="6" t="str"/>
      <x:c r="I113" s="6" t="str"/>
      <x:c r="J113" s="6" t="str"/>
      <x:c r="K113" s="6" t="str"/>
      <x:c r="L113" s="6" t="str"/>
      <x:c r="M113" s="6" t="str">
        <x:v>Hoàng Đại Hợp</x:v>
      </x:c>
    </x:row>
    <x:row r="114" ht="44" customHeight="1">
      <x:c r="A114" s="3" t="str">
        <x:v>S3-TC061</x:v>
      </x:c>
      <x:c r="B114" s="3" t="str">
        <x:v>F07 Gói/giao dịch</x:v>
      </x:c>
      <x:c r="C114" s="3" t="str">
        <x:v>B không đọc giao dịch A</x:v>
      </x:c>
      <x:c r="D114" s="3" t="str">
        <x:v>P1</x:v>
      </x:c>
      <x:c r="E114" s="6" t="str">
        <x:v>Not Run</x:v>
      </x:c>
      <x:c r="F114" s="6" t="str"/>
      <x:c r="G114" s="13"/>
      <x:c r="H114" s="6" t="str"/>
      <x:c r="I114" s="6" t="str"/>
      <x:c r="J114" s="6" t="str"/>
      <x:c r="K114" s="6" t="str"/>
      <x:c r="L114" s="6" t="str"/>
      <x:c r="M114" s="6" t="str">
        <x:v>Hoàng Đại Hợp</x:v>
      </x:c>
    </x:row>
    <x:row r="115" ht="44" customHeight="1">
      <x:c r="A115" s="3" t="str">
        <x:v>S3-TC062</x:v>
      </x:c>
      <x:c r="B115" s="3" t="str">
        <x:v>F07 Gói/giao dịch</x:v>
      </x:c>
      <x:c r="C115" s="3" t="str">
        <x:v>Người dùng không tự đổi trạng thái tiền</x:v>
      </x:c>
      <x:c r="D115" s="3" t="str">
        <x:v>P1</x:v>
      </x:c>
      <x:c r="E115" s="6" t="str">
        <x:v>Not Run</x:v>
      </x:c>
      <x:c r="F115" s="6" t="str"/>
      <x:c r="G115" s="13"/>
      <x:c r="H115" s="6" t="str"/>
      <x:c r="I115" s="6" t="str"/>
      <x:c r="J115" s="6" t="str"/>
      <x:c r="K115" s="6" t="str"/>
      <x:c r="L115" s="6" t="str"/>
      <x:c r="M115" s="6" t="str">
        <x:v>Hoàng Đại Hợp</x:v>
      </x:c>
    </x:row>
    <x:row r="116" ht="44" customHeight="1">
      <x:c r="A116" s="3" t="str">
        <x:v>S3-TC063</x:v>
      </x:c>
      <x:c r="B116" s="3" t="str">
        <x:v>F08 Quyền quản trị</x:v>
      </x:c>
      <x:c r="C116" s="3" t="str">
        <x:v>Admin truy cập quản trị</x:v>
      </x:c>
      <x:c r="D116" s="3" t="str">
        <x:v>P1</x:v>
      </x:c>
      <x:c r="E116" s="6" t="str">
        <x:v>Not Run</x:v>
      </x:c>
      <x:c r="F116" s="6" t="str"/>
      <x:c r="G116" s="13"/>
      <x:c r="H116" s="6" t="str"/>
      <x:c r="I116" s="6" t="str"/>
      <x:c r="J116" s="6" t="str"/>
      <x:c r="K116" s="6" t="str"/>
      <x:c r="L116" s="6" t="str"/>
      <x:c r="M116" s="6" t="str">
        <x:v>Hoàng Đại Hợp</x:v>
      </x:c>
    </x:row>
    <x:row r="117" ht="44" customHeight="1">
      <x:c r="A117" s="3" t="str">
        <x:v>S3-TC064</x:v>
      </x:c>
      <x:c r="B117" s="3" t="str">
        <x:v>F08 Quyền quản trị</x:v>
      </x:c>
      <x:c r="C117" s="3" t="str">
        <x:v>Member mở URL quản trị</x:v>
      </x:c>
      <x:c r="D117" s="3" t="str">
        <x:v>P1</x:v>
      </x:c>
      <x:c r="E117" s="6" t="str">
        <x:v>Not Run</x:v>
      </x:c>
      <x:c r="F117" s="6" t="str"/>
      <x:c r="G117" s="13"/>
      <x:c r="H117" s="6" t="str"/>
      <x:c r="I117" s="6" t="str"/>
      <x:c r="J117" s="6" t="str"/>
      <x:c r="K117" s="6" t="str"/>
      <x:c r="L117" s="6" t="str"/>
      <x:c r="M117" s="6" t="str">
        <x:v>Hoàng Đại Hợp</x:v>
      </x:c>
    </x:row>
    <x:row r="118" ht="44" customHeight="1">
      <x:c r="A118" s="3" t="str">
        <x:v>S3-TC065</x:v>
      </x:c>
      <x:c r="B118" s="3" t="str">
        <x:v>F08 Quyền quản trị</x:v>
      </x:c>
      <x:c r="C118" s="3" t="str">
        <x:v>Member gọi API quản trị tài khoản</x:v>
      </x:c>
      <x:c r="D118" s="3" t="str">
        <x:v>P1</x:v>
      </x:c>
      <x:c r="E118" s="6" t="str">
        <x:v>Not Run</x:v>
      </x:c>
      <x:c r="F118" s="6" t="str"/>
      <x:c r="G118" s="13"/>
      <x:c r="H118" s="6" t="str"/>
      <x:c r="I118" s="6" t="str"/>
      <x:c r="J118" s="6" t="str"/>
      <x:c r="K118" s="6" t="str"/>
      <x:c r="L118" s="6" t="str"/>
      <x:c r="M118" s="6" t="str">
        <x:v>Hoàng Đại Hợp</x:v>
      </x:c>
    </x:row>
    <x:row r="119" ht="44" customHeight="1">
      <x:c r="A119" s="3" t="str">
        <x:v>S3-TC066</x:v>
      </x:c>
      <x:c r="B119" s="3" t="str">
        <x:v>F08 Quyền quản trị</x:v>
      </x:c>
      <x:c r="C119" s="3" t="str">
        <x:v>Member gọi API quản trị danh mục</x:v>
      </x:c>
      <x:c r="D119" s="3" t="str">
        <x:v>P1</x:v>
      </x:c>
      <x:c r="E119" s="6" t="str">
        <x:v>Not Run</x:v>
      </x:c>
      <x:c r="F119" s="6" t="str"/>
      <x:c r="G119" s="13"/>
      <x:c r="H119" s="6" t="str"/>
      <x:c r="I119" s="6" t="str"/>
      <x:c r="J119" s="6" t="str"/>
      <x:c r="K119" s="6" t="str"/>
      <x:c r="L119" s="6" t="str"/>
      <x:c r="M119" s="6" t="str">
        <x:v>Hoàng Đại Hợp</x:v>
      </x:c>
    </x:row>
    <x:row r="120" ht="44" customHeight="1">
      <x:c r="A120" s="3" t="str">
        <x:v>S3-TC067</x:v>
      </x:c>
      <x:c r="B120" s="3" t="str">
        <x:v>F08 Quyền quản trị</x:v>
      </x:c>
      <x:c r="C120" s="3" t="str">
        <x:v>Member gọi API quản trị tin đăng</x:v>
      </x:c>
      <x:c r="D120" s="3" t="str">
        <x:v>P1</x:v>
      </x:c>
      <x:c r="E120" s="6" t="str">
        <x:v>Not Run</x:v>
      </x:c>
      <x:c r="F120" s="6" t="str"/>
      <x:c r="G120" s="13"/>
      <x:c r="H120" s="6" t="str"/>
      <x:c r="I120" s="6" t="str"/>
      <x:c r="J120" s="6" t="str"/>
      <x:c r="K120" s="6" t="str"/>
      <x:c r="L120" s="6" t="str"/>
      <x:c r="M120" s="6" t="str">
        <x:v>Hoàng Đại Hợp</x:v>
      </x:c>
    </x:row>
    <x:row r="121" ht="44" customHeight="1">
      <x:c r="A121" s="3" t="str">
        <x:v>S3-TC068</x:v>
      </x:c>
      <x:c r="B121" s="3" t="str">
        <x:v>F08 Quyền quản trị</x:v>
      </x:c>
      <x:c r="C121" s="3" t="str">
        <x:v>Member gọi API quản trị gói</x:v>
      </x:c>
      <x:c r="D121" s="3" t="str">
        <x:v>P1</x:v>
      </x:c>
      <x:c r="E121" s="6" t="str">
        <x:v>Not Run</x:v>
      </x:c>
      <x:c r="F121" s="6" t="str"/>
      <x:c r="G121" s="13"/>
      <x:c r="H121" s="6" t="str"/>
      <x:c r="I121" s="6" t="str"/>
      <x:c r="J121" s="6" t="str"/>
      <x:c r="K121" s="6" t="str"/>
      <x:c r="L121" s="6" t="str"/>
      <x:c r="M121" s="6" t="str">
        <x:v>Hoàng Đại Hợp</x:v>
      </x:c>
    </x:row>
    <x:row r="122" ht="44" customHeight="1">
      <x:c r="A122" s="3" t="str">
        <x:v>S3-TC069</x:v>
      </x:c>
      <x:c r="B122" s="3" t="str">
        <x:v>F08 Quyền quản trị</x:v>
      </x:c>
      <x:c r="C122" s="3" t="str">
        <x:v>Member gọi API quản trị bình luận/đánh giá</x:v>
      </x:c>
      <x:c r="D122" s="3" t="str">
        <x:v>P1</x:v>
      </x:c>
      <x:c r="E122" s="6" t="str">
        <x:v>Not Run</x:v>
      </x:c>
      <x:c r="F122" s="6" t="str"/>
      <x:c r="G122" s="13"/>
      <x:c r="H122" s="6" t="str"/>
      <x:c r="I122" s="6" t="str"/>
      <x:c r="J122" s="6" t="str"/>
      <x:c r="K122" s="6" t="str"/>
      <x:c r="L122" s="6" t="str"/>
      <x:c r="M122" s="6" t="str">
        <x:v>Hoàng Đại Hợp</x:v>
      </x:c>
    </x:row>
    <x:row r="123" ht="44" customHeight="1">
      <x:c r="A123" s="3" t="str">
        <x:v>S3-TC070</x:v>
      </x:c>
      <x:c r="B123" s="3" t="str">
        <x:v>F08 Quyền quản trị</x:v>
      </x:c>
      <x:c r="C123" s="3" t="str">
        <x:v>Member gọi API quản trị báo cáo</x:v>
      </x:c>
      <x:c r="D123" s="3" t="str">
        <x:v>P1</x:v>
      </x:c>
      <x:c r="E123" s="6" t="str">
        <x:v>Not Run</x:v>
      </x:c>
      <x:c r="F123" s="6" t="str"/>
      <x:c r="G123" s="13"/>
      <x:c r="H123" s="6" t="str"/>
      <x:c r="I123" s="6" t="str"/>
      <x:c r="J123" s="6" t="str"/>
      <x:c r="K123" s="6" t="str"/>
      <x:c r="L123" s="6" t="str"/>
      <x:c r="M123" s="6" t="str">
        <x:v>Hoàng Đại Hợp</x:v>
      </x:c>
    </x:row>
    <x:row r="124" ht="44" customHeight="1">
      <x:c r="A124" s="3" t="str">
        <x:v>S3-TC071</x:v>
      </x:c>
      <x:c r="B124" s="3" t="str">
        <x:v>F08 Quyền quản trị</x:v>
      </x:c>
      <x:c r="C124" s="3" t="str">
        <x:v>Member gọi API quản trị thống kê</x:v>
      </x:c>
      <x:c r="D124" s="3" t="str">
        <x:v>P1</x:v>
      </x:c>
      <x:c r="E124" s="6" t="str">
        <x:v>Not Run</x:v>
      </x:c>
      <x:c r="F124" s="6" t="str"/>
      <x:c r="G124" s="13"/>
      <x:c r="H124" s="6" t="str"/>
      <x:c r="I124" s="6" t="str"/>
      <x:c r="J124" s="6" t="str"/>
      <x:c r="K124" s="6" t="str"/>
      <x:c r="L124" s="6" t="str"/>
      <x:c r="M124" s="6" t="str">
        <x:v>Hoàng Đại Hợp</x:v>
      </x:c>
    </x:row>
    <x:row r="125" ht="44" customHeight="1">
      <x:c r="A125" s="3" t="str">
        <x:v>S3-TC072</x:v>
      </x:c>
      <x:c r="B125" s="3" t="str">
        <x:v>F08 Quyền quản trị</x:v>
      </x:c>
      <x:c r="C125" s="3" t="str">
        <x:v>Khách gọi API quản trị</x:v>
      </x:c>
      <x:c r="D125" s="3" t="str">
        <x:v>P1</x:v>
      </x:c>
      <x:c r="E125" s="6" t="str">
        <x:v>Not Run</x:v>
      </x:c>
      <x:c r="F125" s="6" t="str"/>
      <x:c r="G125" s="13"/>
      <x:c r="H125" s="6" t="str"/>
      <x:c r="I125" s="6" t="str"/>
      <x:c r="J125" s="6" t="str"/>
      <x:c r="K125" s="6" t="str"/>
      <x:c r="L125" s="6" t="str"/>
      <x:c r="M125" s="6" t="str">
        <x:v>Hoàng Đại Hợp</x:v>
      </x:c>
    </x:row>
    <x:row r="126" ht="44" customHeight="1">
      <x:c r="A126" s="3" t="str">
        <x:v>S3-TC073</x:v>
      </x:c>
      <x:c r="B126" s="3" t="str">
        <x:v>F08 Tài khoản</x:v>
      </x:c>
      <x:c r="C126" s="3" t="str">
        <x:v>Admin khóa tài khoản</x:v>
      </x:c>
      <x:c r="D126" s="3" t="str">
        <x:v>P1</x:v>
      </x:c>
      <x:c r="E126" s="6" t="str">
        <x:v>Not Run</x:v>
      </x:c>
      <x:c r="F126" s="6" t="str"/>
      <x:c r="G126" s="13"/>
      <x:c r="H126" s="6" t="str"/>
      <x:c r="I126" s="6" t="str"/>
      <x:c r="J126" s="6" t="str"/>
      <x:c r="K126" s="6" t="str"/>
      <x:c r="L126" s="6" t="str"/>
      <x:c r="M126" s="6" t="str">
        <x:v>Hoàng Đại Hợp</x:v>
      </x:c>
    </x:row>
    <x:row r="127" ht="44" customHeight="1">
      <x:c r="A127" s="3" t="str">
        <x:v>S3-TC074</x:v>
      </x:c>
      <x:c r="B127" s="3" t="str">
        <x:v>F08 Tài khoản</x:v>
      </x:c>
      <x:c r="C127" s="3" t="str">
        <x:v>Phiên đang mở khi bị khóa</x:v>
      </x:c>
      <x:c r="D127" s="3" t="str">
        <x:v>P1</x:v>
      </x:c>
      <x:c r="E127" s="6" t="str">
        <x:v>Not Run</x:v>
      </x:c>
      <x:c r="F127" s="6" t="str"/>
      <x:c r="G127" s="13"/>
      <x:c r="H127" s="6" t="str"/>
      <x:c r="I127" s="6" t="str"/>
      <x:c r="J127" s="6" t="str"/>
      <x:c r="K127" s="6" t="str"/>
      <x:c r="L127" s="6" t="str"/>
      <x:c r="M127" s="6" t="str">
        <x:v>Hoàng Đại Hợp</x:v>
      </x:c>
    </x:row>
    <x:row r="128" ht="44" customHeight="1">
      <x:c r="A128" s="3" t="str">
        <x:v>S3-TC075</x:v>
      </x:c>
      <x:c r="B128" s="3" t="str">
        <x:v>F08 Tài khoản</x:v>
      </x:c>
      <x:c r="C128" s="3" t="str">
        <x:v>Admin mở khóa</x:v>
      </x:c>
      <x:c r="D128" s="3" t="str">
        <x:v>P1</x:v>
      </x:c>
      <x:c r="E128" s="6" t="str">
        <x:v>Not Run</x:v>
      </x:c>
      <x:c r="F128" s="6" t="str"/>
      <x:c r="G128" s="13"/>
      <x:c r="H128" s="6" t="str"/>
      <x:c r="I128" s="6" t="str"/>
      <x:c r="J128" s="6" t="str"/>
      <x:c r="K128" s="6" t="str"/>
      <x:c r="L128" s="6" t="str"/>
      <x:c r="M128" s="6" t="str">
        <x:v>Hoàng Đại Hợp</x:v>
      </x:c>
    </x:row>
    <x:row r="129" ht="44" customHeight="1">
      <x:c r="A129" s="3" t="str">
        <x:v>S3-TC076</x:v>
      </x:c>
      <x:c r="B129" s="3" t="str">
        <x:v>F08 Danh mục</x:v>
      </x:c>
      <x:c r="C129" s="3" t="str">
        <x:v>Thêm danh mục hợp lệ</x:v>
      </x:c>
      <x:c r="D129" s="3" t="str">
        <x:v>P2</x:v>
      </x:c>
      <x:c r="E129" s="6" t="str">
        <x:v>Not Run</x:v>
      </x:c>
      <x:c r="F129" s="6" t="str"/>
      <x:c r="G129" s="13"/>
      <x:c r="H129" s="6" t="str"/>
      <x:c r="I129" s="6" t="str"/>
      <x:c r="J129" s="6" t="str"/>
      <x:c r="K129" s="6" t="str"/>
      <x:c r="L129" s="6" t="str"/>
      <x:c r="M129" s="6" t="str">
        <x:v>Hoàng Đại Hợp</x:v>
      </x:c>
    </x:row>
    <x:row r="130" ht="44" customHeight="1">
      <x:c r="A130" s="3" t="str">
        <x:v>S3-TC077</x:v>
      </x:c>
      <x:c r="B130" s="3" t="str">
        <x:v>F08 Danh mục</x:v>
      </x:c>
      <x:c r="C130" s="3" t="str">
        <x:v>Danh mục rỗng</x:v>
      </x:c>
      <x:c r="D130" s="3" t="str">
        <x:v>P2</x:v>
      </x:c>
      <x:c r="E130" s="6" t="str">
        <x:v>Not Run</x:v>
      </x:c>
      <x:c r="F130" s="6" t="str"/>
      <x:c r="G130" s="13"/>
      <x:c r="H130" s="6" t="str"/>
      <x:c r="I130" s="6" t="str"/>
      <x:c r="J130" s="6" t="str"/>
      <x:c r="K130" s="6" t="str"/>
      <x:c r="L130" s="6" t="str"/>
      <x:c r="M130" s="6" t="str">
        <x:v>Hoàng Đại Hợp</x:v>
      </x:c>
    </x:row>
    <x:row r="131" ht="44" customHeight="1">
      <x:c r="A131" s="3" t="str">
        <x:v>S3-TC078</x:v>
      </x:c>
      <x:c r="B131" s="3" t="str">
        <x:v>F08 Danh mục</x:v>
      </x:c>
      <x:c r="C131" s="3" t="str">
        <x:v>Sửa danh mục</x:v>
      </x:c>
      <x:c r="D131" s="3" t="str">
        <x:v>P2</x:v>
      </x:c>
      <x:c r="E131" s="6" t="str">
        <x:v>Not Run</x:v>
      </x:c>
      <x:c r="F131" s="6" t="str"/>
      <x:c r="G131" s="13"/>
      <x:c r="H131" s="6" t="str"/>
      <x:c r="I131" s="6" t="str"/>
      <x:c r="J131" s="6" t="str"/>
      <x:c r="K131" s="6" t="str"/>
      <x:c r="L131" s="6" t="str"/>
      <x:c r="M131" s="6" t="str">
        <x:v>Hoàng Đại Hợp</x:v>
      </x:c>
    </x:row>
    <x:row r="132" ht="44" customHeight="1">
      <x:c r="A132" s="3" t="str">
        <x:v>S3-TC079</x:v>
      </x:c>
      <x:c r="B132" s="3" t="str">
        <x:v>F08 Danh mục</x:v>
      </x:c>
      <x:c r="C132" s="3" t="str">
        <x:v>Xóa danh mục đang có tin</x:v>
      </x:c>
      <x:c r="D132" s="3" t="str">
        <x:v>P1</x:v>
      </x:c>
      <x:c r="E132" s="6" t="str">
        <x:v>Not Run</x:v>
      </x:c>
      <x:c r="F132" s="6" t="str"/>
      <x:c r="G132" s="13"/>
      <x:c r="H132" s="6" t="str"/>
      <x:c r="I132" s="6" t="str"/>
      <x:c r="J132" s="6" t="str"/>
      <x:c r="K132" s="6" t="str"/>
      <x:c r="L132" s="6" t="str"/>
      <x:c r="M132" s="6" t="str">
        <x:v>Hoàng Đại Hợp</x:v>
      </x:c>
    </x:row>
    <x:row r="133" ht="44" customHeight="1">
      <x:c r="A133" s="3" t="str">
        <x:v>S3-TC080</x:v>
      </x:c>
      <x:c r="B133" s="3" t="str">
        <x:v>F08 Tin đăng</x:v>
      </x:c>
      <x:c r="C133" s="3" t="str">
        <x:v>Admin duyệt tin</x:v>
      </x:c>
      <x:c r="D133" s="3" t="str">
        <x:v>P1</x:v>
      </x:c>
      <x:c r="E133" s="6" t="str">
        <x:v>Not Run</x:v>
      </x:c>
      <x:c r="F133" s="6" t="str"/>
      <x:c r="G133" s="13"/>
      <x:c r="H133" s="6" t="str"/>
      <x:c r="I133" s="6" t="str"/>
      <x:c r="J133" s="6" t="str"/>
      <x:c r="K133" s="6" t="str"/>
      <x:c r="L133" s="6" t="str"/>
      <x:c r="M133" s="6" t="str">
        <x:v>Hoàng Đại Hợp</x:v>
      </x:c>
    </x:row>
    <x:row r="134" ht="44" customHeight="1">
      <x:c r="A134" s="3" t="str">
        <x:v>S3-TC081</x:v>
      </x:c>
      <x:c r="B134" s="3" t="str">
        <x:v>F08 Tin đăng</x:v>
      </x:c>
      <x:c r="C134" s="3" t="str">
        <x:v>Admin ẩn tin</x:v>
      </x:c>
      <x:c r="D134" s="3" t="str">
        <x:v>P1</x:v>
      </x:c>
      <x:c r="E134" s="6" t="str">
        <x:v>Not Run</x:v>
      </x:c>
      <x:c r="F134" s="6" t="str"/>
      <x:c r="G134" s="13"/>
      <x:c r="H134" s="6" t="str"/>
      <x:c r="I134" s="6" t="str"/>
      <x:c r="J134" s="6" t="str"/>
      <x:c r="K134" s="6" t="str"/>
      <x:c r="L134" s="6" t="str"/>
      <x:c r="M134" s="6" t="str">
        <x:v>Hoàng Đại Hợp</x:v>
      </x:c>
    </x:row>
    <x:row r="135" ht="44" customHeight="1">
      <x:c r="A135" s="3" t="str">
        <x:v>S3-TC082</x:v>
      </x:c>
      <x:c r="B135" s="3" t="str">
        <x:v>F08 Tin đăng</x:v>
      </x:c>
      <x:c r="C135" s="3" t="str">
        <x:v>Hủy thao tác quản trị tin</x:v>
      </x:c>
      <x:c r="D135" s="3" t="str">
        <x:v>P2</x:v>
      </x:c>
      <x:c r="E135" s="6" t="str">
        <x:v>Not Run</x:v>
      </x:c>
      <x:c r="F135" s="6" t="str"/>
      <x:c r="G135" s="13"/>
      <x:c r="H135" s="6" t="str"/>
      <x:c r="I135" s="6" t="str"/>
      <x:c r="J135" s="6" t="str"/>
      <x:c r="K135" s="6" t="str"/>
      <x:c r="L135" s="6" t="str"/>
      <x:c r="M135" s="6" t="str">
        <x:v>Hoàng Đại Hợp</x:v>
      </x:c>
    </x:row>
    <x:row r="136" ht="44" customHeight="1">
      <x:c r="A136" s="3" t="str">
        <x:v>S3-TC083</x:v>
      </x:c>
      <x:c r="B136" s="3" t="str">
        <x:v>F08 Gói</x:v>
      </x:c>
      <x:c r="C136" s="3" t="str">
        <x:v>Admin tạo gói</x:v>
      </x:c>
      <x:c r="D136" s="3" t="str">
        <x:v>P1</x:v>
      </x:c>
      <x:c r="E136" s="6" t="str">
        <x:v>Not Run</x:v>
      </x:c>
      <x:c r="F136" s="6" t="str"/>
      <x:c r="G136" s="13"/>
      <x:c r="H136" s="6" t="str"/>
      <x:c r="I136" s="6" t="str"/>
      <x:c r="J136" s="6" t="str"/>
      <x:c r="K136" s="6" t="str"/>
      <x:c r="L136" s="6" t="str"/>
      <x:c r="M136" s="6" t="str">
        <x:v>Hoàng Đại Hợp</x:v>
      </x:c>
    </x:row>
    <x:row r="137" ht="44" customHeight="1">
      <x:c r="A137" s="3" t="str">
        <x:v>S3-TC084</x:v>
      </x:c>
      <x:c r="B137" s="3" t="str">
        <x:v>F08 Gói</x:v>
      </x:c>
      <x:c r="C137" s="3" t="str">
        <x:v>Gói có giá âm</x:v>
      </x:c>
      <x:c r="D137" s="3" t="str">
        <x:v>P2</x:v>
      </x:c>
      <x:c r="E137" s="6" t="str">
        <x:v>Not Run</x:v>
      </x:c>
      <x:c r="F137" s="6" t="str"/>
      <x:c r="G137" s="13"/>
      <x:c r="H137" s="6" t="str"/>
      <x:c r="I137" s="6" t="str"/>
      <x:c r="J137" s="6" t="str"/>
      <x:c r="K137" s="6" t="str"/>
      <x:c r="L137" s="6" t="str"/>
      <x:c r="M137" s="6" t="str">
        <x:v>Hoàng Đại Hợp</x:v>
      </x:c>
    </x:row>
    <x:row r="138" ht="44" customHeight="1">
      <x:c r="A138" s="3" t="str">
        <x:v>S3-TC085</x:v>
      </x:c>
      <x:c r="B138" s="3" t="str">
        <x:v>F08 Gói</x:v>
      </x:c>
      <x:c r="C138" s="3" t="str">
        <x:v>Gói có thời hạn sai</x:v>
      </x:c>
      <x:c r="D138" s="3" t="str">
        <x:v>P2</x:v>
      </x:c>
      <x:c r="E138" s="6" t="str">
        <x:v>Not Run</x:v>
      </x:c>
      <x:c r="F138" s="6" t="str"/>
      <x:c r="G138" s="13"/>
      <x:c r="H138" s="6" t="str"/>
      <x:c r="I138" s="6" t="str"/>
      <x:c r="J138" s="6" t="str"/>
      <x:c r="K138" s="6" t="str"/>
      <x:c r="L138" s="6" t="str"/>
      <x:c r="M138" s="6" t="str">
        <x:v>Hoàng Đại Hợp</x:v>
      </x:c>
    </x:row>
    <x:row r="139" ht="44" customHeight="1">
      <x:c r="A139" s="3" t="str">
        <x:v>S3-TC086</x:v>
      </x:c>
      <x:c r="B139" s="3" t="str">
        <x:v>F08 Gói</x:v>
      </x:c>
      <x:c r="C139" s="3" t="str">
        <x:v>Admin sửa thông tin gói</x:v>
      </x:c>
      <x:c r="D139" s="3" t="str">
        <x:v>P1</x:v>
      </x:c>
      <x:c r="E139" s="6" t="str">
        <x:v>Not Run</x:v>
      </x:c>
      <x:c r="F139" s="6" t="str"/>
      <x:c r="G139" s="13"/>
      <x:c r="H139" s="6" t="str"/>
      <x:c r="I139" s="6" t="str"/>
      <x:c r="J139" s="6" t="str"/>
      <x:c r="K139" s="6" t="str"/>
      <x:c r="L139" s="6" t="str"/>
      <x:c r="M139" s="6" t="str">
        <x:v>Hoàng Đại Hợp</x:v>
      </x:c>
    </x:row>
    <x:row r="140" ht="44" customHeight="1">
      <x:c r="A140" s="3" t="str">
        <x:v>S3-TC087</x:v>
      </x:c>
      <x:c r="B140" s="3" t="str">
        <x:v>F08 Gói</x:v>
      </x:c>
      <x:c r="C140" s="3" t="str">
        <x:v>Ngừng bán gói</x:v>
      </x:c>
      <x:c r="D140" s="3" t="str">
        <x:v>P1</x:v>
      </x:c>
      <x:c r="E140" s="6" t="str">
        <x:v>Not Run</x:v>
      </x:c>
      <x:c r="F140" s="6" t="str"/>
      <x:c r="G140" s="13"/>
      <x:c r="H140" s="6" t="str"/>
      <x:c r="I140" s="6" t="str"/>
      <x:c r="J140" s="6" t="str"/>
      <x:c r="K140" s="6" t="str"/>
      <x:c r="L140" s="6" t="str"/>
      <x:c r="M140" s="6" t="str">
        <x:v>Hoàng Đại Hợp</x:v>
      </x:c>
    </x:row>
    <x:row r="141" ht="44" customHeight="1">
      <x:c r="A141" s="3" t="str">
        <x:v>S3-TC088</x:v>
      </x:c>
      <x:c r="B141" s="3" t="str">
        <x:v>F08 Kiểm duyệt tương tác</x:v>
      </x:c>
      <x:c r="C141" s="3" t="str">
        <x:v>Admin xử lý bình luận</x:v>
      </x:c>
      <x:c r="D141" s="3" t="str">
        <x:v>P1</x:v>
      </x:c>
      <x:c r="E141" s="6" t="str">
        <x:v>Not Run</x:v>
      </x:c>
      <x:c r="F141" s="6" t="str"/>
      <x:c r="G141" s="13"/>
      <x:c r="H141" s="6" t="str"/>
      <x:c r="I141" s="6" t="str"/>
      <x:c r="J141" s="6" t="str"/>
      <x:c r="K141" s="6" t="str"/>
      <x:c r="L141" s="6" t="str"/>
      <x:c r="M141" s="6" t="str">
        <x:v>Hoàng Đại Hợp</x:v>
      </x:c>
    </x:row>
    <x:row r="142" ht="44" customHeight="1">
      <x:c r="A142" s="3" t="str">
        <x:v>S3-TC089</x:v>
      </x:c>
      <x:c r="B142" s="3" t="str">
        <x:v>F08 Kiểm duyệt tương tác</x:v>
      </x:c>
      <x:c r="C142" s="3" t="str">
        <x:v>Admin xử lý đánh giá</x:v>
      </x:c>
      <x:c r="D142" s="3" t="str">
        <x:v>P1</x:v>
      </x:c>
      <x:c r="E142" s="6" t="str">
        <x:v>Not Run</x:v>
      </x:c>
      <x:c r="F142" s="6" t="str"/>
      <x:c r="G142" s="13"/>
      <x:c r="H142" s="6" t="str"/>
      <x:c r="I142" s="6" t="str"/>
      <x:c r="J142" s="6" t="str"/>
      <x:c r="K142" s="6" t="str"/>
      <x:c r="L142" s="6" t="str"/>
      <x:c r="M142" s="6" t="str">
        <x:v>Hoàng Đại Hợp</x:v>
      </x:c>
    </x:row>
    <x:row r="143" ht="44" customHeight="1">
      <x:c r="A143" s="3" t="str">
        <x:v>S3-TC090</x:v>
      </x:c>
      <x:c r="B143" s="3" t="str">
        <x:v>F08 Kiểm duyệt tương tác</x:v>
      </x:c>
      <x:c r="C143" s="3" t="str">
        <x:v>Admin xử lý báo cáo</x:v>
      </x:c>
      <x:c r="D143" s="3" t="str">
        <x:v>P1</x:v>
      </x:c>
      <x:c r="E143" s="6" t="str">
        <x:v>Not Run</x:v>
      </x:c>
      <x:c r="F143" s="6" t="str"/>
      <x:c r="G143" s="13"/>
      <x:c r="H143" s="6" t="str"/>
      <x:c r="I143" s="6" t="str"/>
      <x:c r="J143" s="6" t="str"/>
      <x:c r="K143" s="6" t="str"/>
      <x:c r="L143" s="6" t="str"/>
      <x:c r="M143" s="6" t="str">
        <x:v>Hoàng Đại Hợp</x:v>
      </x:c>
    </x:row>
    <x:row r="144" ht="44" customHeight="1">
      <x:c r="A144" s="3" t="str">
        <x:v>S3-TC091</x:v>
      </x:c>
      <x:c r="B144" s="3" t="str">
        <x:v>F08 Kiểm duyệt tương tác</x:v>
      </x:c>
      <x:c r="C144" s="3" t="str">
        <x:v>Xử lý lại báo cáo đã hoàn tất</x:v>
      </x:c>
      <x:c r="D144" s="3" t="str">
        <x:v>P2</x:v>
      </x:c>
      <x:c r="E144" s="6" t="str">
        <x:v>Not Run</x:v>
      </x:c>
      <x:c r="F144" s="6" t="str"/>
      <x:c r="G144" s="13"/>
      <x:c r="H144" s="6" t="str"/>
      <x:c r="I144" s="6" t="str"/>
      <x:c r="J144" s="6" t="str"/>
      <x:c r="K144" s="6" t="str"/>
      <x:c r="L144" s="6" t="str"/>
      <x:c r="M144" s="6" t="str">
        <x:v>Hoàng Đại Hợp</x:v>
      </x:c>
    </x:row>
    <x:row r="145" ht="44" customHeight="1">
      <x:c r="A145" s="3" t="str">
        <x:v>S3-TC092</x:v>
      </x:c>
      <x:c r="B145" s="3" t="str">
        <x:v>F09 Thống kê</x:v>
      </x:c>
      <x:c r="C145" s="3" t="str">
        <x:v>Đếm người dùng</x:v>
      </x:c>
      <x:c r="D145" s="3" t="str">
        <x:v>P1</x:v>
      </x:c>
      <x:c r="E145" s="6" t="str">
        <x:v>Not Run</x:v>
      </x:c>
      <x:c r="F145" s="6" t="str"/>
      <x:c r="G145" s="13"/>
      <x:c r="H145" s="6" t="str"/>
      <x:c r="I145" s="6" t="str"/>
      <x:c r="J145" s="6" t="str"/>
      <x:c r="K145" s="6" t="str"/>
      <x:c r="L145" s="6" t="str"/>
      <x:c r="M145" s="6" t="str">
        <x:v>Hoàng Đại Hợp</x:v>
      </x:c>
    </x:row>
    <x:row r="146" ht="44" customHeight="1">
      <x:c r="A146" s="3" t="str">
        <x:v>S3-TC093</x:v>
      </x:c>
      <x:c r="B146" s="3" t="str">
        <x:v>F09 Thống kê</x:v>
      </x:c>
      <x:c r="C146" s="3" t="str">
        <x:v>Đếm tin đăng</x:v>
      </x:c>
      <x:c r="D146" s="3" t="str">
        <x:v>P1</x:v>
      </x:c>
      <x:c r="E146" s="6" t="str">
        <x:v>Not Run</x:v>
      </x:c>
      <x:c r="F146" s="6" t="str"/>
      <x:c r="G146" s="13"/>
      <x:c r="H146" s="6" t="str"/>
      <x:c r="I146" s="6" t="str"/>
      <x:c r="J146" s="6" t="str"/>
      <x:c r="K146" s="6" t="str"/>
      <x:c r="L146" s="6" t="str"/>
      <x:c r="M146" s="6" t="str">
        <x:v>Hoàng Đại Hợp</x:v>
      </x:c>
    </x:row>
    <x:row r="147" ht="44" customHeight="1">
      <x:c r="A147" s="3" t="str">
        <x:v>S3-TC094</x:v>
      </x:c>
      <x:c r="B147" s="3" t="str">
        <x:v>F09 Thống kê</x:v>
      </x:c>
      <x:c r="C147" s="3" t="str">
        <x:v>Doanh thu chỉ giao dịch thành công</x:v>
      </x:c>
      <x:c r="D147" s="3" t="str">
        <x:v>P1</x:v>
      </x:c>
      <x:c r="E147" s="6" t="str">
        <x:v>Not Run</x:v>
      </x:c>
      <x:c r="F147" s="6" t="str"/>
      <x:c r="G147" s="13"/>
      <x:c r="H147" s="6" t="str"/>
      <x:c r="I147" s="6" t="str"/>
      <x:c r="J147" s="6" t="str"/>
      <x:c r="K147" s="6" t="str"/>
      <x:c r="L147" s="6" t="str"/>
      <x:c r="M147" s="6" t="str">
        <x:v>Hoàng Đại Hợp</x:v>
      </x:c>
    </x:row>
    <x:row r="148" ht="44" customHeight="1">
      <x:c r="A148" s="3" t="str">
        <x:v>S3-TC095</x:v>
      </x:c>
      <x:c r="B148" s="3" t="str">
        <x:v>F09 Thống kê</x:v>
      </x:c>
      <x:c r="C148" s="3" t="str">
        <x:v>Số giao dịch theo trạng thái</x:v>
      </x:c>
      <x:c r="D148" s="3" t="str">
        <x:v>P1</x:v>
      </x:c>
      <x:c r="E148" s="6" t="str">
        <x:v>Not Run</x:v>
      </x:c>
      <x:c r="F148" s="6" t="str"/>
      <x:c r="G148" s="13"/>
      <x:c r="H148" s="6" t="str"/>
      <x:c r="I148" s="6" t="str"/>
      <x:c r="J148" s="6" t="str"/>
      <x:c r="K148" s="6" t="str"/>
      <x:c r="L148" s="6" t="str"/>
      <x:c r="M148" s="6" t="str">
        <x:v>Hoàng Đại Hợp</x:v>
      </x:c>
    </x:row>
    <x:row r="149" ht="44" customHeight="1">
      <x:c r="A149" s="3" t="str">
        <x:v>S3-TC096</x:v>
      </x:c>
      <x:c r="B149" s="3" t="str">
        <x:v>F09 Thống kê</x:v>
      </x:c>
      <x:c r="C149" s="3" t="str">
        <x:v>Thống kê không có dữ liệu</x:v>
      </x:c>
      <x:c r="D149" s="3" t="str">
        <x:v>P2</x:v>
      </x:c>
      <x:c r="E149" s="6" t="str">
        <x:v>Not Run</x:v>
      </x:c>
      <x:c r="F149" s="6" t="str"/>
      <x:c r="G149" s="13"/>
      <x:c r="H149" s="6" t="str"/>
      <x:c r="I149" s="6" t="str"/>
      <x:c r="J149" s="6" t="str"/>
      <x:c r="K149" s="6" t="str"/>
      <x:c r="L149" s="6" t="str"/>
      <x:c r="M149" s="6" t="str">
        <x:v>Hoàng Đại Hợp</x:v>
      </x:c>
    </x:row>
    <x:row r="150" ht="44" customHeight="1">
      <x:c r="A150" s="3" t="str">
        <x:v>S3-TC097</x:v>
      </x:c>
      <x:c r="B150" s="3" t="str">
        <x:v>F09 Thống kê</x:v>
      </x:c>
      <x:c r="C150" s="3" t="str">
        <x:v>Lọc ngày trong khoảng</x:v>
      </x:c>
      <x:c r="D150" s="3" t="str">
        <x:v>P1</x:v>
      </x:c>
      <x:c r="E150" s="6" t="str">
        <x:v>Not Run</x:v>
      </x:c>
      <x:c r="F150" s="6" t="str"/>
      <x:c r="G150" s="13"/>
      <x:c r="H150" s="6" t="str"/>
      <x:c r="I150" s="6" t="str"/>
      <x:c r="J150" s="6" t="str"/>
      <x:c r="K150" s="6" t="str"/>
      <x:c r="L150" s="6" t="str"/>
      <x:c r="M150" s="6" t="str">
        <x:v>Hoàng Đại Hợp</x:v>
      </x:c>
    </x:row>
    <x:row r="151" ht="44" customHeight="1">
      <x:c r="A151" s="3" t="str">
        <x:v>S3-TC098</x:v>
      </x:c>
      <x:c r="B151" s="3" t="str">
        <x:v>F09 Thống kê</x:v>
      </x:c>
      <x:c r="C151" s="3" t="str">
        <x:v>Biên cuối ngày</x:v>
      </x:c>
      <x:c r="D151" s="3" t="str">
        <x:v>P1</x:v>
      </x:c>
      <x:c r="E151" s="6" t="str">
        <x:v>Not Run</x:v>
      </x:c>
      <x:c r="F151" s="6" t="str"/>
      <x:c r="G151" s="13"/>
      <x:c r="H151" s="6" t="str"/>
      <x:c r="I151" s="6" t="str"/>
      <x:c r="J151" s="6" t="str"/>
      <x:c r="K151" s="6" t="str"/>
      <x:c r="L151" s="6" t="str"/>
      <x:c r="M151" s="6" t="str">
        <x:v>Hoàng Đại Hợp</x:v>
      </x:c>
    </x:row>
    <x:row r="152" ht="44" customHeight="1">
      <x:c r="A152" s="3" t="str">
        <x:v>S3-TC099</x:v>
      </x:c>
      <x:c r="B152" s="3" t="str">
        <x:v>F09 Thống kê</x:v>
      </x:c>
      <x:c r="C152" s="3" t="str">
        <x:v>Lọc khoảng ngày đảo</x:v>
      </x:c>
      <x:c r="D152" s="3" t="str">
        <x:v>P2</x:v>
      </x:c>
      <x:c r="E152" s="6" t="str">
        <x:v>Not Run</x:v>
      </x:c>
      <x:c r="F152" s="6" t="str"/>
      <x:c r="G152" s="13"/>
      <x:c r="H152" s="6" t="str"/>
      <x:c r="I152" s="6" t="str"/>
      <x:c r="J152" s="6" t="str"/>
      <x:c r="K152" s="6" t="str"/>
      <x:c r="L152" s="6" t="str"/>
      <x:c r="M152" s="6" t="str">
        <x:v>Hoàng Đại Hợp</x:v>
      </x:c>
    </x:row>
    <x:row r="153" ht="44" customHeight="1">
      <x:c r="A153" s="3" t="str">
        <x:v>S3-TC100</x:v>
      </x:c>
      <x:c r="B153" s="3" t="str">
        <x:v>F09 Thống kê</x:v>
      </x:c>
      <x:c r="C153" s="3" t="str">
        <x:v>Thống kê không tăng do callback lặp</x:v>
      </x:c>
      <x:c r="D153" s="3" t="str">
        <x:v>P1</x:v>
      </x:c>
      <x:c r="E153" s="6" t="str">
        <x:v>Not Run</x:v>
      </x:c>
      <x:c r="F153" s="6" t="str"/>
      <x:c r="G153" s="13"/>
      <x:c r="H153" s="6" t="str"/>
      <x:c r="I153" s="6" t="str"/>
      <x:c r="J153" s="6" t="str"/>
      <x:c r="K153" s="6" t="str"/>
      <x:c r="L153" s="6" t="str"/>
      <x:c r="M153" s="6" t="str">
        <x:v>Hoàng Đại Hợp</x:v>
      </x:c>
    </x:row>
    <x:row r="154" ht="44" customHeight="1">
      <x:c r="A154" s="3" t="str">
        <x:v>S3-TC101</x:v>
      </x:c>
      <x:c r="B154" s="3" t="str">
        <x:v>F01–F04 Hồi quy</x:v>
      </x:c>
      <x:c r="C154" s="3" t="str">
        <x:v>Đăng nhập sau tích hợp</x:v>
      </x:c>
      <x:c r="D154" s="3" t="str">
        <x:v>P1</x:v>
      </x:c>
      <x:c r="E154" s="6" t="str">
        <x:v>Not Run</x:v>
      </x:c>
      <x:c r="F154" s="6" t="str"/>
      <x:c r="G154" s="13"/>
      <x:c r="H154" s="6" t="str"/>
      <x:c r="I154" s="6" t="str"/>
      <x:c r="J154" s="6" t="str"/>
      <x:c r="K154" s="6" t="str"/>
      <x:c r="L154" s="6" t="str"/>
      <x:c r="M154" s="6" t="str">
        <x:v>Hoàng Đại Hợp</x:v>
      </x:c>
    </x:row>
    <x:row r="155" ht="44" customHeight="1">
      <x:c r="A155" s="3" t="str">
        <x:v>S3-TC102</x:v>
      </x:c>
      <x:c r="B155" s="3" t="str">
        <x:v>F01–F04 Hồi quy</x:v>
      </x:c>
      <x:c r="C155" s="3" t="str">
        <x:v>Đăng tin và lưu thẻ sau tích hợp</x:v>
      </x:c>
      <x:c r="D155" s="3" t="str">
        <x:v>P1</x:v>
      </x:c>
      <x:c r="E155" s="6" t="str">
        <x:v>Not Run</x:v>
      </x:c>
      <x:c r="F155" s="6" t="str"/>
      <x:c r="G155" s="13"/>
      <x:c r="H155" s="6" t="str"/>
      <x:c r="I155" s="6" t="str"/>
      <x:c r="J155" s="6" t="str"/>
      <x:c r="K155" s="6" t="str"/>
      <x:c r="L155" s="6" t="str"/>
      <x:c r="M155" s="6" t="str">
        <x:v>Hoàng Đại Hợp</x:v>
      </x:c>
    </x:row>
    <x:row r="156" ht="44" customHeight="1">
      <x:c r="A156" s="3" t="str">
        <x:v>S3-TC103</x:v>
      </x:c>
      <x:c r="B156" s="3" t="str">
        <x:v>F01–F04 Hồi quy</x:v>
      </x:c>
      <x:c r="C156" s="3" t="str">
        <x:v>Tìm kiếm kết hợp sau tích hợp</x:v>
      </x:c>
      <x:c r="D156" s="3" t="str">
        <x:v>P1</x:v>
      </x:c>
      <x:c r="E156" s="6" t="str">
        <x:v>Not Run</x:v>
      </x:c>
      <x:c r="F156" s="6" t="str"/>
      <x:c r="G156" s="13"/>
      <x:c r="H156" s="6" t="str"/>
      <x:c r="I156" s="6" t="str"/>
      <x:c r="J156" s="6" t="str"/>
      <x:c r="K156" s="6" t="str"/>
      <x:c r="L156" s="6" t="str"/>
      <x:c r="M156" s="6" t="str">
        <x:v>Hoàng Đại Hợp</x:v>
      </x:c>
    </x:row>
    <x:row r="157" ht="44" customHeight="1">
      <x:c r="A157" s="3" t="str">
        <x:v>S3-TC104</x:v>
      </x:c>
      <x:c r="B157" s="3" t="str">
        <x:v>F01–F04 Hồi quy</x:v>
      </x:c>
      <x:c r="C157" s="3" t="str">
        <x:v>Luồng xuyên suốt đến quản trị</x:v>
      </x:c>
      <x:c r="D157" s="3" t="str">
        <x:v>P1</x:v>
      </x:c>
      <x:c r="E157" s="6" t="str">
        <x:v>Not Run</x:v>
      </x:c>
      <x:c r="F157" s="6" t="str"/>
      <x:c r="G157" s="13"/>
      <x:c r="H157" s="6" t="str"/>
      <x:c r="I157" s="6" t="str"/>
      <x:c r="J157" s="6" t="str"/>
      <x:c r="K157" s="6" t="str"/>
      <x:c r="L157" s="6" t="str"/>
      <x:c r="M157" s="6" t="str">
        <x:v>Hoàng Đại Hợp</x:v>
      </x:c>
    </x:row>
    <x:row r="158" ht="44" customHeight="1">
      <x:c r="A158" s="3" t="str">
        <x:v>S3-TC105</x:v>
      </x:c>
      <x:c r="B158" s="3" t="str">
        <x:v>F01–F04 Hồi quy</x:v>
      </x:c>
      <x:c r="C158" s="3" t="str">
        <x:v>AI lỗi không chặn luồng tích hợp</x:v>
      </x:c>
      <x:c r="D158" s="3" t="str">
        <x:v>P1</x:v>
      </x:c>
      <x:c r="E158" s="6" t="str">
        <x:v>Not Run</x:v>
      </x:c>
      <x:c r="F158" s="6" t="str"/>
      <x:c r="G158" s="13"/>
      <x:c r="H158" s="6" t="str"/>
      <x:c r="I158" s="6" t="str"/>
      <x:c r="J158" s="6" t="str"/>
      <x:c r="K158" s="6" t="str"/>
      <x:c r="L158" s="6" t="str"/>
      <x:c r="M158" s="6" t="str">
        <x:v>Hoàng Đại Hợp</x:v>
      </x:c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>
      <x:c r="A162" s="5" t="str">
        <x:v>Lỗi và tồn tại trong sprint</x:v>
      </x:c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 ht="34" customHeight="1">
      <x:c r="A164" s="10" t="str">
        <x:v>Mã lỗi</x:v>
      </x:c>
      <x:c r="B164" s="10" t="str">
        <x:v>Mã ca liên quan</x:v>
      </x:c>
      <x:c r="C164" s="10" t="str">
        <x:v>Mô tả lỗi</x:v>
      </x:c>
      <x:c r="D164" s="10" t="str">
        <x:v>Mức độ</x:v>
      </x:c>
      <x:c r="E164" s="10" t="str">
        <x:v>Ảnh hưởng</x:v>
      </x:c>
      <x:c r="F164" s="10" t="str">
        <x:v>Phương án xử lý</x:v>
      </x:c>
      <x:c r="G164" s="10" t="str">
        <x:v>Người sửa</x:v>
      </x:c>
      <x:c r="H164" s="10" t="str">
        <x:v>Trạng thái lỗi</x:v>
      </x:c>
      <x:c r="I164" s="10" t="str">
        <x:v>Build phát hiện</x:v>
      </x:c>
      <x:c r="J164" s="10" t="str">
        <x:v>Build sửa</x:v>
      </x:c>
      <x:c r="K164" s="10" t="str">
        <x:v>Kết quả retest</x:v>
      </x:c>
      <x:c r="L164" s="10" t="str">
        <x:v>Bằng chứng</x:v>
      </x:c>
      <x:c r="M164" s="10" t="str">
        <x:v>Quyết định / hạn xử lý</x:v>
      </x:c>
    </x:row>
    <x:row r="165" ht="60" customHeight="1">
      <x:c r="A165" s="6"/>
      <x:c r="B165" s="6"/>
      <x:c r="C165" s="6"/>
      <x:c r="D165" s="6"/>
      <x:c r="E165" s="6"/>
      <x:c r="F165" s="6"/>
      <x:c r="G165" s="6"/>
      <x:c r="H165" s="6"/>
      <x:c r="I165" s="6"/>
      <x:c r="J165" s="6"/>
      <x:c r="K165" s="6"/>
      <x:c r="L165" s="6"/>
      <x:c r="M165" s="6"/>
    </x:row>
    <x:row r="166" ht="60" customHeight="1">
      <x:c r="A166" s="6"/>
      <x:c r="B166" s="6"/>
      <x:c r="C166" s="6"/>
      <x:c r="D166" s="6"/>
      <x:c r="E166" s="6"/>
      <x:c r="F166" s="6"/>
      <x:c r="G166" s="6"/>
      <x:c r="H166" s="6"/>
      <x:c r="I166" s="6"/>
      <x:c r="J166" s="6"/>
      <x:c r="K166" s="6"/>
      <x:c r="L166" s="6"/>
      <x:c r="M166" s="6"/>
    </x:row>
    <x:row r="167" ht="60" customHeight="1">
      <x:c r="A167" s="6"/>
      <x:c r="B167" s="6"/>
      <x:c r="C167" s="6"/>
      <x:c r="D167" s="6"/>
      <x:c r="E167" s="6"/>
      <x:c r="F167" s="6"/>
      <x:c r="G167" s="6"/>
      <x:c r="H167" s="6"/>
      <x:c r="I167" s="6"/>
      <x:c r="J167" s="6"/>
      <x:c r="K167" s="6"/>
      <x:c r="L167" s="6"/>
      <x:c r="M167" s="6"/>
    </x:row>
    <x:row r="168" ht="60" customHeight="1">
      <x:c r="A168" s="6"/>
      <x:c r="B168" s="6"/>
      <x:c r="C168" s="6"/>
      <x:c r="D168" s="6"/>
      <x:c r="E168" s="6"/>
      <x:c r="F168" s="6"/>
      <x:c r="G168" s="6"/>
      <x:c r="H168" s="6"/>
      <x:c r="I168" s="6"/>
      <x:c r="J168" s="6"/>
      <x:c r="K168" s="6"/>
      <x:c r="L168" s="6"/>
      <x:c r="M168" s="6"/>
    </x:row>
    <x:row r="169" ht="60" customHeight="1">
      <x:c r="A169" s="6"/>
      <x:c r="B169" s="6"/>
      <x:c r="C169" s="6"/>
      <x:c r="D169" s="6"/>
      <x:c r="E169" s="6"/>
      <x:c r="F169" s="6"/>
      <x:c r="G169" s="6"/>
      <x:c r="H169" s="6"/>
      <x:c r="I169" s="6"/>
      <x:c r="J169" s="6"/>
      <x:c r="K169" s="6"/>
      <x:c r="L169" s="6"/>
      <x:c r="M169" s="6"/>
    </x:row>
    <x:row r="170" ht="60" customHeight="1">
      <x:c r="A170" s="6"/>
      <x:c r="B170" s="6"/>
      <x:c r="C170" s="6"/>
      <x:c r="D170" s="6"/>
      <x:c r="E170" s="6"/>
      <x:c r="F170" s="6"/>
      <x:c r="G170" s="6"/>
      <x:c r="H170" s="6"/>
      <x:c r="I170" s="6"/>
      <x:c r="J170" s="6"/>
      <x:c r="K170" s="6"/>
      <x:c r="L170" s="6"/>
      <x:c r="M170" s="6"/>
    </x:row>
    <x:row r="171" ht="60" customHeight="1">
      <x:c r="A171" s="6"/>
      <x:c r="B171" s="6"/>
      <x:c r="C171" s="6"/>
      <x:c r="D171" s="6"/>
      <x:c r="E171" s="6"/>
      <x:c r="F171" s="6"/>
      <x:c r="G171" s="6"/>
      <x:c r="H171" s="6"/>
      <x:c r="I171" s="6"/>
      <x:c r="J171" s="6"/>
      <x:c r="K171" s="6"/>
      <x:c r="L171" s="6"/>
      <x:c r="M171" s="6"/>
    </x:row>
    <x:row r="172" ht="60" customHeight="1">
      <x:c r="A172" s="6"/>
      <x:c r="B172" s="6"/>
      <x:c r="C172" s="6"/>
      <x:c r="D172" s="6"/>
      <x:c r="E172" s="6"/>
      <x:c r="F172" s="6"/>
      <x:c r="G172" s="6"/>
      <x:c r="H172" s="6"/>
      <x:c r="I172" s="6"/>
      <x:c r="J172" s="6"/>
      <x:c r="K172" s="6"/>
      <x:c r="L172" s="6"/>
      <x:c r="M172" s="6"/>
    </x:row>
    <x:row r="173" ht="60" customHeight="1">
      <x:c r="A173" s="6"/>
      <x:c r="B173" s="6"/>
      <x:c r="C173" s="6"/>
      <x:c r="D173" s="6"/>
      <x:c r="E173" s="6"/>
      <x:c r="F173" s="6"/>
      <x:c r="G173" s="6"/>
      <x:c r="H173" s="6"/>
      <x:c r="I173" s="6"/>
      <x:c r="J173" s="6"/>
      <x:c r="K173" s="6"/>
      <x:c r="L173" s="6"/>
      <x:c r="M173" s="6"/>
    </x:row>
    <x:row r="174" ht="60" customHeight="1">
      <x:c r="A174" s="6"/>
      <x:c r="B174" s="6"/>
      <x:c r="C174" s="6"/>
      <x:c r="D174" s="6"/>
      <x:c r="E174" s="6"/>
      <x:c r="F174" s="6"/>
      <x:c r="G174" s="6"/>
      <x:c r="H174" s="6"/>
      <x:c r="I174" s="6"/>
      <x:c r="J174" s="6"/>
      <x:c r="K174" s="6"/>
      <x:c r="L174" s="6"/>
      <x:c r="M174" s="6"/>
    </x:row>
    <x:row r="175" ht="60" customHeight="1">
      <x:c r="A175" s="6"/>
      <x:c r="B175" s="6"/>
      <x:c r="C175" s="6"/>
      <x:c r="D175" s="6"/>
      <x:c r="E175" s="6"/>
      <x:c r="F175" s="6"/>
      <x:c r="G175" s="6"/>
      <x:c r="H175" s="6"/>
      <x:c r="I175" s="6"/>
      <x:c r="J175" s="6"/>
      <x:c r="K175" s="6"/>
      <x:c r="L175" s="6"/>
      <x:c r="M175" s="6"/>
    </x:row>
    <x:row r="176" ht="60" customHeight="1">
      <x:c r="A176" s="6"/>
      <x:c r="B176" s="6"/>
      <x:c r="C176" s="6"/>
      <x:c r="D176" s="6"/>
      <x:c r="E176" s="6"/>
      <x:c r="F176" s="6"/>
      <x:c r="G176" s="6"/>
      <x:c r="H176" s="6"/>
      <x:c r="I176" s="6"/>
      <x:c r="J176" s="6"/>
      <x:c r="K176" s="6"/>
      <x:c r="L176" s="6"/>
      <x:c r="M176" s="6"/>
    </x:row>
    <x:row r="177" ht="60" customHeight="1">
      <x:c r="A177" s="6"/>
      <x:c r="B177" s="6"/>
      <x:c r="C177" s="6"/>
      <x:c r="D177" s="6"/>
      <x:c r="E177" s="6"/>
      <x:c r="F177" s="6"/>
      <x:c r="G177" s="6"/>
      <x:c r="H177" s="6"/>
      <x:c r="I177" s="6"/>
      <x:c r="J177" s="6"/>
      <x:c r="K177" s="6"/>
      <x:c r="L177" s="6"/>
      <x:c r="M177" s="6"/>
    </x:row>
    <x:row r="178" ht="60" customHeight="1">
      <x:c r="A178" s="6"/>
      <x:c r="B178" s="6"/>
      <x:c r="C178" s="6"/>
      <x:c r="D178" s="6"/>
      <x:c r="E178" s="6"/>
      <x:c r="F178" s="6"/>
      <x:c r="G178" s="6"/>
      <x:c r="H178" s="6"/>
      <x:c r="I178" s="6"/>
      <x:c r="J178" s="6"/>
      <x:c r="K178" s="6"/>
      <x:c r="L178" s="6"/>
      <x:c r="M178" s="6"/>
    </x:row>
    <x:row r="179" ht="60" customHeight="1">
      <x:c r="A179" s="6"/>
      <x:c r="B179" s="6"/>
      <x:c r="C179" s="6"/>
      <x:c r="D179" s="6"/>
      <x:c r="E179" s="6"/>
      <x:c r="F179" s="6"/>
      <x:c r="G179" s="6"/>
      <x:c r="H179" s="6"/>
      <x:c r="I179" s="6"/>
      <x:c r="J179" s="6"/>
      <x:c r="K179" s="6"/>
      <x:c r="L179" s="6"/>
      <x:c r="M179" s="6"/>
    </x:row>
    <x:row r="180" ht="60" customHeight="1">
      <x:c r="A180" s="6"/>
      <x:c r="B180" s="6"/>
      <x:c r="C180" s="6"/>
      <x:c r="D180" s="6"/>
      <x:c r="E180" s="6"/>
      <x:c r="F180" s="6"/>
      <x:c r="G180" s="6"/>
      <x:c r="H180" s="6"/>
      <x:c r="I180" s="6"/>
      <x:c r="J180" s="6"/>
      <x:c r="K180" s="6"/>
      <x:c r="L180" s="6"/>
      <x:c r="M180" s="6"/>
    </x:row>
    <x:row r="181" ht="60" customHeight="1">
      <x:c r="A181" s="6"/>
      <x:c r="B181" s="6"/>
      <x:c r="C181" s="6"/>
      <x:c r="D181" s="6"/>
      <x:c r="E181" s="6"/>
      <x:c r="F181" s="6"/>
      <x:c r="G181" s="6"/>
      <x:c r="H181" s="6"/>
      <x:c r="I181" s="6"/>
      <x:c r="J181" s="6"/>
      <x:c r="K181" s="6"/>
      <x:c r="L181" s="6"/>
      <x:c r="M181" s="6"/>
    </x:row>
    <x:row r="182" ht="60" customHeight="1">
      <x:c r="A182" s="6"/>
      <x:c r="B182" s="6"/>
      <x:c r="C182" s="6"/>
      <x:c r="D182" s="6"/>
      <x:c r="E182" s="6"/>
      <x:c r="F182" s="6"/>
      <x:c r="G182" s="6"/>
      <x:c r="H182" s="6"/>
      <x:c r="I182" s="6"/>
      <x:c r="J182" s="6"/>
      <x:c r="K182" s="6"/>
      <x:c r="L182" s="6"/>
      <x:c r="M182" s="6"/>
    </x:row>
    <x:row r="183" ht="60" customHeight="1">
      <x:c r="A183" s="6"/>
      <x:c r="B183" s="6"/>
      <x:c r="C183" s="6"/>
      <x:c r="D183" s="6"/>
      <x:c r="E183" s="6"/>
      <x:c r="F183" s="6"/>
      <x:c r="G183" s="6"/>
      <x:c r="H183" s="6"/>
      <x:c r="I183" s="6"/>
      <x:c r="J183" s="6"/>
      <x:c r="K183" s="6"/>
      <x:c r="L183" s="6"/>
      <x:c r="M183" s="6"/>
    </x:row>
    <x:row r="184" ht="60" customHeight="1">
      <x:c r="A184" s="6"/>
      <x:c r="B184" s="6"/>
      <x:c r="C184" s="6"/>
      <x:c r="D184" s="6"/>
      <x:c r="E184" s="6"/>
      <x:c r="F184" s="6"/>
      <x:c r="G184" s="6"/>
      <x:c r="H184" s="6"/>
      <x:c r="I184" s="6"/>
      <x:c r="J184" s="6"/>
      <x:c r="K184" s="6"/>
      <x:c r="L184" s="6"/>
      <x:c r="M184" s="6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>
      <x:c r="A186" s="3" t="str">
        <x:v>Nguồn</x:v>
      </x:c>
      <x:c r="B186" s="14" t="str">
        <x:v>SmartLease_AI_Test_Cases_Sprint_3.xlsx (Tong quan, Test cases, Loi); Test Plan Sprint 3 v1.0. Sao chép số liệu theo bản nguồn ngày 03/10/2026.</x:v>
      </x:c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>
      <x:c r="A187" s="3" t="str">
        <x:v>Thêm dòng</x:v>
      </x:c>
      <x:c r="B187" s="14" t="str">
        <x:v>Khi thêm ca/lỗi, mở rộng vùng công thức tổng hợp tương ứng. Mã ca và mã lỗi phải duy nhất.</x:v>
      </x:c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</x:sheetData>
  <x:conditionalFormatting sqref="E54:E158">
    <x:cfRule type="containsText" dxfId="6" priority="1" operator="containsText" text="Fail"/>
    <x:cfRule type="containsText" dxfId="7" priority="2" operator="containsText" text="Blocked"/>
    <x:cfRule type="containsText" dxfId="8" priority="3" operator="containsText" text="Pass"/>
  </x:conditionalFormatting>
  <x:dataValidations count="5">
    <x:dataValidation type="list" sqref="E20">
      <x:formula1>"Chưa đánh giá,Chưa đạt,Đạt có điều kiện,Đạt"</x:formula1>
    </x:dataValidation>
    <x:dataValidation type="list" sqref="E54:E158">
      <x:formula1>"Not Run,Pass,Fail,Blocked,N/A"</x:formula1>
    </x:dataValidation>
    <x:dataValidation type="list" sqref="K54:K158">
      <x:formula1>"Chưa retest,Pass,Fail,Blocked,N/A"</x:formula1>
    </x:dataValidation>
    <x:dataValidation type="list" sqref="D165:D184">
      <x:formula1>"Nghiêm trọng,Lớn,Vừa,Nhỏ"</x:formula1>
    </x:dataValidation>
    <x:dataValidation type="list" sqref="H165:H184">
      <x:formula1>"Mới,Đã xác nhận,Đang sửa,Chờ kiểm thử lại,Đóng,Mở lại"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a85cc23102f4373"/>
    <x:tablePart xmlns:r="http://schemas.openxmlformats.org/officeDocument/2006/relationships" r:id="R37bceb36c95b4bfc"/>
  </x:tableParts>
</x:worksheet>
</file>