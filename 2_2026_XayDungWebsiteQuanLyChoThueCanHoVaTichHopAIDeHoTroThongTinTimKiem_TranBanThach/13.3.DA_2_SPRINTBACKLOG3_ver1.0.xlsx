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2"/>
  </bookViews>
  <sheets>
    <sheet name=" Estimate" sheetId="1" r:id="rId1"/>
    <sheet name="Actual" sheetId="2" r:id="rId2"/>
    <sheet name="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<sst xmlns="http://schemas.openxmlformats.org/spreadsheetml/2006/main" count="206" uniqueCount="71">
  <si>
    <t>Project Name:</t>
  </si>
  <si>
    <t>SmartLease</t>
  </si>
  <si>
    <t>Module Name:</t>
  </si>
  <si>
    <t>Sprint 3</t>
  </si>
  <si>
    <t>Development Team:</t>
  </si>
  <si>
    <t>CS445</t>
  </si>
  <si>
    <t>Start Date:</t>
  </si>
  <si>
    <t>End Date:</t>
  </si>
  <si>
    <t>No.</t>
  </si>
  <si>
    <t>Member Name</t>
  </si>
  <si>
    <t>Estimate</t>
  </si>
  <si>
    <t>Nam</t>
  </si>
  <si>
    <t>Trần Văn Sơn Nam</t>
  </si>
  <si>
    <t>On Time</t>
  </si>
  <si>
    <t>Quy</t>
  </si>
  <si>
    <t>Châu Văn Quy</t>
  </si>
  <si>
    <t>Lately</t>
  </si>
  <si>
    <t>Bin</t>
  </si>
  <si>
    <t>Phan Tín Bin</t>
  </si>
  <si>
    <t>Early</t>
  </si>
  <si>
    <t>Anh</t>
  </si>
  <si>
    <t>Đoàn Tuấn Anh</t>
  </si>
  <si>
    <t>Unfinished</t>
  </si>
  <si>
    <t>Hợp</t>
  </si>
  <si>
    <t>Hoàng Đại Hợp</t>
  </si>
  <si>
    <t>Total</t>
  </si>
  <si>
    <t>SPRINT 3 REPORT</t>
  </si>
  <si>
    <t>Conponent</t>
  </si>
  <si>
    <t>Task Name</t>
  </si>
  <si>
    <t>Resposible 
Member</t>
  </si>
  <si>
    <t xml:space="preserve"> Estimate</t>
  </si>
  <si>
    <t>Sprint Plan Meeting</t>
  </si>
  <si>
    <t>All member</t>
  </si>
  <si>
    <t xml:space="preserve">Create Sprint Backlog for Sprint 3 </t>
  </si>
  <si>
    <t>Create Test Plan document for Sprint 3</t>
  </si>
  <si>
    <t xml:space="preserve">Design UI </t>
  </si>
  <si>
    <t>Database</t>
  </si>
  <si>
    <t>Add tag tables, tag-to-listing relationships, and listing coordinates</t>
  </si>
  <si>
    <t>Coding Frontend</t>
  </si>
  <si>
    <t>(Front-end) Implement comment and rating management, editing, and deletion</t>
  </si>
  <si>
    <t>(Front-end) Implement Premium package management</t>
  </si>
  <si>
    <t>(Front-end) Implement membership transaction approval and rejection</t>
  </si>
  <si>
    <t>(Front-end) Implement AI tag display below apartment listing titles</t>
  </si>
  <si>
    <t>(Front-end) Implement clickable tags and frontend tag filtering</t>
  </si>
  <si>
    <t>(Front-end) Integrate verification code sending, entry, and email verification during registration</t>
  </si>
  <si>
    <t>(Front-end) Integrate Mapbox location selection during apartment listing creation</t>
  </si>
  <si>
    <t>(Front-end) Integrate location maps into apartment listing details</t>
  </si>
  <si>
    <t>(Front-end) Implement report format selection and export</t>
  </si>
  <si>
    <t>(Front-end) Implement statistics and data filtering using existing APIs</t>
  </si>
  <si>
    <t>Coding Backend</t>
  </si>
  <si>
    <t>(Back-end) Implement user account management</t>
  </si>
  <si>
    <t>(Back-end) Implement property listing and article management</t>
  </si>
  <si>
    <t>(Back-end) Implement membership package management</t>
  </si>
  <si>
    <t>(Back-end) Implement membership transaction approval</t>
  </si>
  <si>
    <t>(Back-end) Implement automatic AI tagging for property listings</t>
  </si>
  <si>
    <t>(Back-end) Implement listing search by tag</t>
  </si>
  <si>
    <t>(Back-end) Implement Mapbox integration</t>
  </si>
  <si>
    <t>(Back-end) Implement email verification during registration</t>
  </si>
  <si>
    <t>(Back-end) Implement listing location storage for Mapbox</t>
  </si>
  <si>
    <t>Testing and Bug Fixing</t>
  </si>
  <si>
    <t>Test account, listing, comment, and rating management</t>
  </si>
  <si>
    <t>Test Premium package management and transaction approval</t>
  </si>
  <si>
    <t>Test AI tag generation, tag display, and listing search by tag</t>
  </si>
  <si>
    <t>Test email verification and listing locations on Mapbox</t>
  </si>
  <si>
    <t>Test statistics, data filtering, and report export</t>
  </si>
  <si>
    <t>Implement Test Cases &amp; Execute Testing</t>
  </si>
  <si>
    <t>Fix bugs and report issues found during testing</t>
  </si>
  <si>
    <t>Retest after fixing bugs</t>
  </si>
  <si>
    <t>Closing</t>
  </si>
  <si>
    <t>Actual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</si>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</sst>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409]dd\-mmm\-yy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80" fontId="1" fillId="0" borderId="1" xfId="0" applyNumberFormat="1" applyFont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vi-V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Burn down chart Sprint 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Chart!$B$3:$B$14</c:f>
              <c:numCache>
                <c:formatCode>General</c:formatCode>
                <c:ptCount val="12"/>
                <c:pt idx="0">
                  <c:v>74</c:v>
                </c:pt>
                <c:pt idx="1">
                  <c:v>64</c:v>
                </c:pt>
                <c:pt idx="2">
                  <c:v>58</c:v>
                </c:pt>
                <c:pt idx="3">
                  <c:v>53</c:v>
                </c:pt>
                <c:pt idx="4">
                  <c:v>49</c:v>
                </c:pt>
                <c:pt idx="5">
                  <c:v>41</c:v>
                </c:pt>
                <c:pt idx="6">
                  <c:v>37</c:v>
                </c:pt>
                <c:pt idx="7">
                  <c:v>33</c:v>
                </c:pt>
                <c:pt idx="8">
                  <c:v>30</c:v>
                </c:pt>
                <c:pt idx="9">
                  <c:v>16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Chart!$C$3:$C$14</c:f>
              <c:numCache>
                <c:formatCode>General</c:formatCode>
                <c:ptCount val="12"/>
                <c:pt idx="0">
                  <c:v>74</c:v>
                </c:pt>
                <c:pt idx="1">
                  <c:v>64</c:v>
                </c:pt>
                <c:pt idx="2">
                  <c:v>58</c:v>
                </c:pt>
                <c:pt idx="3">
                  <c:v>53</c:v>
                </c:pt>
                <c:pt idx="4">
                  <c:v>49</c:v>
                </c:pt>
                <c:pt idx="5">
                  <c:v>41</c:v>
                </c:pt>
                <c:pt idx="6">
                  <c:v>37</c:v>
                </c:pt>
                <c:pt idx="7">
                  <c:v>33</c:v>
                </c:pt>
                <c:pt idx="8">
                  <c:v>30</c:v>
                </c:pt>
                <c:pt idx="9">
                  <c:v>16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8391894"/>
        <c:axId val="663368633"/>
      </c:lineChart>
      <c:catAx>
        <c:axId val="538391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368633"/>
        <c:crosses val="autoZero"/>
        <c:auto val="1"/>
        <c:lblAlgn val="ctr"/>
        <c:lblOffset val="100"/>
        <c:noMultiLvlLbl val="0"/>
      </c:catAx>
      <c:valAx>
        <c:axId val="663368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3918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vi-V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e807c6-947b-4d62-a629-005992074a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vi-V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605790</xdr:colOff>
      <xdr:row>1</xdr:row>
      <xdr:rowOff>10795</xdr:rowOff>
    </xdr:from>
    <xdr:to>
      <xdr:col>20</xdr:col>
      <xdr:colOff>598805</xdr:colOff>
      <xdr:row>14</xdr:row>
      <xdr:rowOff>33655</xdr:rowOff>
    </xdr:to>
    <xdr:graphicFrame>
      <xdr:nvGraphicFramePr>
        <xdr:cNvPr id="2" name="Biểu đồ 1"/>
        <xdr:cNvGraphicFramePr/>
      </xdr:nvGraphicFramePr>
      <xdr:xfrm>
        <a:off x="3219450" y="193675"/>
        <a:ext cx="9746615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"/>
  <sheetViews>
    <sheetView showGridLines="0" zoomScale="85" zoomScaleNormal="85" zoomScaleSheetLayoutView="60" topLeftCell="A12" workbookViewId="0">
      <selection activeCell="F8" sqref="F8:F14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66.4722222222222" style="5" customWidth="1"/>
    <col min="6" max="6" width="12.2222222222222" style="5" customWidth="1"/>
    <col min="7" max="7" width="10" style="5"/>
    <col min="8" max="19" width="6.35185185185185" style="5" customWidth="1"/>
    <col min="20" max="20" width="5.07407407407407" style="5" customWidth="1"/>
    <col min="21" max="16384" width="10" style="5"/>
  </cols>
  <sheetData>
    <row r="1" ht="15" customHeight="1" spans="1:19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ht="43" customHeight="1" spans="1:19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pans="1:19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pans="1:19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</row>
    <row r="5" spans="1:19">
      <c r="A5" s="6"/>
      <c r="B5" s="6"/>
      <c r="C5" s="2" t="s">
        <v>6</v>
      </c>
      <c r="D5" s="2"/>
      <c r="E5" s="9">
        <v>46296</v>
      </c>
      <c r="F5" s="7"/>
      <c r="G5" s="7"/>
      <c r="H5" s="7"/>
      <c r="I5" s="7"/>
      <c r="J5" s="7"/>
      <c r="K5" s="7"/>
      <c r="L5" s="7"/>
      <c r="M5" s="7"/>
      <c r="N5" s="7"/>
    </row>
    <row r="6" spans="1:19">
      <c r="A6" s="6"/>
      <c r="B6" s="6"/>
      <c r="C6" s="2" t="s">
        <v>7</v>
      </c>
      <c r="D6" s="2"/>
      <c r="E6" s="9">
        <v>46307</v>
      </c>
      <c r="F6" s="7"/>
      <c r="G6" s="7"/>
      <c r="H6" s="7"/>
      <c r="I6" s="7"/>
      <c r="J6" s="7"/>
      <c r="K6" s="7"/>
      <c r="L6" s="7"/>
      <c r="M6" s="7"/>
      <c r="N6" s="7"/>
    </row>
    <row r="7" spans="1:19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9">
      <c r="A8" s="6"/>
      <c r="B8" s="6"/>
      <c r="C8" s="8" t="s">
        <v>8</v>
      </c>
      <c r="D8" s="10" t="s">
        <v>9</v>
      </c>
      <c r="E8" s="8"/>
      <c r="F8" s="8" t="s">
        <v>10</v>
      </c>
      <c r="G8" s="7"/>
      <c r="N8" s="7"/>
    </row>
    <row r="9" spans="1:19">
      <c r="A9" s="6"/>
      <c r="B9" s="6"/>
      <c r="C9" s="2">
        <v>1</v>
      </c>
      <c r="D9" s="2" t="s">
        <v>11</v>
      </c>
      <c r="E9" s="11" t="s">
        <v>12</v>
      </c>
      <c r="F9" s="12">
        <v>14</v>
      </c>
      <c r="G9" s="7"/>
      <c r="H9" s="4"/>
      <c r="I9" s="4"/>
      <c r="J9" s="2" t="s">
        <v>13</v>
      </c>
      <c r="K9" s="2"/>
      <c r="L9" s="2"/>
      <c r="M9" s="2"/>
      <c r="N9" s="7"/>
    </row>
    <row r="10" spans="1:19">
      <c r="A10" s="6"/>
      <c r="B10" s="6"/>
      <c r="C10" s="2">
        <v>2</v>
      </c>
      <c r="D10" s="2" t="s">
        <v>14</v>
      </c>
      <c r="E10" s="11" t="s">
        <v>15</v>
      </c>
      <c r="F10" s="12">
        <v>15</v>
      </c>
      <c r="G10" s="7"/>
      <c r="H10" s="13"/>
      <c r="I10" s="13"/>
      <c r="J10" s="2" t="s">
        <v>16</v>
      </c>
      <c r="K10" s="2"/>
      <c r="L10" s="2"/>
      <c r="M10" s="2"/>
      <c r="N10" s="7"/>
    </row>
    <row r="11" spans="1:19">
      <c r="A11" s="6"/>
      <c r="B11" s="6"/>
      <c r="C11" s="2">
        <v>3</v>
      </c>
      <c r="D11" s="2" t="s">
        <v>17</v>
      </c>
      <c r="E11" s="11" t="s">
        <v>18</v>
      </c>
      <c r="F11" s="12">
        <v>23</v>
      </c>
      <c r="G11" s="7"/>
      <c r="H11" s="14"/>
      <c r="I11" s="14"/>
      <c r="J11" s="2" t="s">
        <v>19</v>
      </c>
      <c r="K11" s="2"/>
      <c r="L11" s="2"/>
      <c r="M11" s="2"/>
      <c r="N11" s="7"/>
    </row>
    <row r="12" spans="1:19">
      <c r="A12" s="6"/>
      <c r="B12" s="6"/>
      <c r="C12" s="2">
        <v>4</v>
      </c>
      <c r="D12" s="2" t="s">
        <v>20</v>
      </c>
      <c r="E12" s="11" t="s">
        <v>21</v>
      </c>
      <c r="F12" s="12">
        <v>14</v>
      </c>
      <c r="G12" s="7"/>
      <c r="H12" s="15"/>
      <c r="I12" s="16"/>
      <c r="J12" s="2" t="s">
        <v>22</v>
      </c>
      <c r="K12" s="2"/>
      <c r="L12" s="2"/>
      <c r="M12" s="2"/>
      <c r="N12" s="7"/>
    </row>
    <row r="13" spans="1:19">
      <c r="A13" s="6"/>
      <c r="B13" s="6"/>
      <c r="C13" s="2">
        <v>5</v>
      </c>
      <c r="D13" s="2" t="s">
        <v>23</v>
      </c>
      <c r="E13" s="11" t="s">
        <v>24</v>
      </c>
      <c r="F13" s="12">
        <v>14</v>
      </c>
      <c r="G13" s="7"/>
      <c r="H13" s="7"/>
      <c r="I13" s="7"/>
      <c r="J13" s="7"/>
      <c r="K13" s="7"/>
      <c r="L13" s="7"/>
      <c r="M13" s="7"/>
      <c r="N13" s="7"/>
    </row>
    <row r="14" spans="1:19">
      <c r="A14" s="6"/>
      <c r="B14" s="6"/>
      <c r="C14" s="2" t="s">
        <v>25</v>
      </c>
      <c r="D14" s="2"/>
      <c r="E14" s="2"/>
      <c r="F14" s="12">
        <f>SUM(F9:F13)</f>
        <v>80</v>
      </c>
      <c r="G14" s="7"/>
      <c r="H14" s="7"/>
      <c r="I14" s="7"/>
      <c r="J14" s="7"/>
      <c r="K14" s="7"/>
      <c r="L14" s="7"/>
      <c r="M14" s="7"/>
      <c r="N14" s="7"/>
    </row>
    <row r="15" spans="1:19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72" customHeight="1" spans="1:19">
      <c r="A16" s="6"/>
      <c r="B16" s="6"/>
      <c r="C16" s="2" t="s">
        <v>26</v>
      </c>
      <c r="D16" s="17" t="s">
        <v>27</v>
      </c>
      <c r="E16" s="17" t="s">
        <v>28</v>
      </c>
      <c r="F16" s="11" t="s">
        <v>29</v>
      </c>
      <c r="G16" s="2" t="s">
        <v>30</v>
      </c>
      <c r="H16" s="18">
        <v>46296</v>
      </c>
      <c r="I16" s="18">
        <v>46297</v>
      </c>
      <c r="J16" s="18">
        <v>46298</v>
      </c>
      <c r="K16" s="18">
        <v>46299</v>
      </c>
      <c r="L16" s="18">
        <v>46300</v>
      </c>
      <c r="M16" s="18">
        <v>46301</v>
      </c>
      <c r="N16" s="18">
        <v>46302</v>
      </c>
      <c r="O16" s="18">
        <v>46303</v>
      </c>
      <c r="P16" s="18">
        <v>46304</v>
      </c>
      <c r="Q16" s="18">
        <v>46305</v>
      </c>
      <c r="R16" s="18">
        <v>46306</v>
      </c>
      <c r="S16" s="18">
        <v>46307</v>
      </c>
    </row>
    <row r="17" spans="1:19">
      <c r="A17" s="6"/>
      <c r="B17" s="6"/>
      <c r="C17" s="2"/>
      <c r="D17" s="19" t="s">
        <v>31</v>
      </c>
      <c r="E17" s="19"/>
      <c r="F17" s="20" t="s">
        <v>32</v>
      </c>
      <c r="G17" s="21">
        <v>3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>
      <c r="A18" s="6"/>
      <c r="B18" s="6"/>
      <c r="C18" s="2"/>
      <c r="D18" s="19" t="s">
        <v>33</v>
      </c>
      <c r="E18" s="19"/>
      <c r="F18" s="21" t="s">
        <v>11</v>
      </c>
      <c r="G18" s="21">
        <v>3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>
      <c r="A19" s="6"/>
      <c r="B19" s="6"/>
      <c r="C19" s="2"/>
      <c r="D19" s="19" t="s">
        <v>34</v>
      </c>
      <c r="E19" s="19"/>
      <c r="F19" s="21" t="s">
        <v>11</v>
      </c>
      <c r="G19" s="21">
        <v>4</v>
      </c>
      <c r="H19" s="21">
        <v>4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>
      <c r="A21" s="6"/>
      <c r="B21" s="6"/>
      <c r="C21" s="2"/>
      <c r="D21" s="22" t="s">
        <v>36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>
      <c r="A22" s="6"/>
      <c r="B22" s="6"/>
      <c r="C22" s="2"/>
      <c r="D22" s="24" t="s">
        <v>37</v>
      </c>
      <c r="E22" s="24"/>
      <c r="F22" s="2" t="s">
        <v>17</v>
      </c>
      <c r="G22" s="2">
        <v>3</v>
      </c>
      <c r="H22" s="2">
        <v>3</v>
      </c>
      <c r="I22" s="4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6"/>
      <c r="B23" s="6"/>
      <c r="C23" s="2"/>
      <c r="D23" s="22" t="s">
        <v>38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>
      <c r="A24" s="6"/>
      <c r="B24" s="6"/>
      <c r="C24" s="2"/>
      <c r="D24" s="24" t="s">
        <v>39</v>
      </c>
      <c r="E24" s="24"/>
      <c r="F24" s="12" t="s">
        <v>11</v>
      </c>
      <c r="G24" s="2">
        <v>3</v>
      </c>
      <c r="H24" s="2">
        <v>3</v>
      </c>
      <c r="I24" s="4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6"/>
      <c r="B25" s="6"/>
      <c r="C25" s="2"/>
      <c r="D25" s="24" t="s">
        <v>40</v>
      </c>
      <c r="E25" s="24"/>
      <c r="F25" s="2" t="s">
        <v>20</v>
      </c>
      <c r="G25" s="2">
        <v>4</v>
      </c>
      <c r="H25" s="2">
        <v>4</v>
      </c>
      <c r="I25" s="2">
        <v>4</v>
      </c>
      <c r="J25" s="4">
        <v>0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6"/>
      <c r="B26" s="6"/>
      <c r="C26" s="2"/>
      <c r="D26" s="24" t="s">
        <v>41</v>
      </c>
      <c r="E26" s="24"/>
      <c r="F26" s="2" t="s">
        <v>20</v>
      </c>
      <c r="G26" s="2">
        <v>1</v>
      </c>
      <c r="H26" s="2">
        <v>1</v>
      </c>
      <c r="I26" s="2">
        <v>1</v>
      </c>
      <c r="J26" s="4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6"/>
      <c r="B27" s="6"/>
      <c r="C27" s="2"/>
      <c r="D27" s="24" t="s">
        <v>42</v>
      </c>
      <c r="E27" s="24"/>
      <c r="F27" s="2" t="s">
        <v>20</v>
      </c>
      <c r="G27" s="2">
        <v>1</v>
      </c>
      <c r="H27" s="2">
        <v>1</v>
      </c>
      <c r="I27" s="2">
        <v>1</v>
      </c>
      <c r="J27" s="4">
        <v>0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6"/>
      <c r="B28" s="6"/>
      <c r="C28" s="2"/>
      <c r="D28" s="24" t="s">
        <v>43</v>
      </c>
      <c r="E28" s="24"/>
      <c r="F28" s="2" t="s">
        <v>14</v>
      </c>
      <c r="G28" s="2">
        <v>2</v>
      </c>
      <c r="H28" s="2">
        <v>2</v>
      </c>
      <c r="I28" s="2">
        <v>2</v>
      </c>
      <c r="J28" s="2">
        <v>2</v>
      </c>
      <c r="K28" s="4">
        <v>0</v>
      </c>
      <c r="L28" s="2"/>
      <c r="M28" s="2"/>
      <c r="N28" s="2"/>
      <c r="O28" s="2"/>
      <c r="P28" s="2"/>
      <c r="Q28" s="2"/>
      <c r="R28" s="2"/>
      <c r="S28" s="2"/>
    </row>
    <row r="29" spans="1:19">
      <c r="A29" s="6"/>
      <c r="B29" s="6"/>
      <c r="C29" s="2"/>
      <c r="D29" s="24" t="s">
        <v>44</v>
      </c>
      <c r="E29" s="24"/>
      <c r="F29" s="2" t="s">
        <v>23</v>
      </c>
      <c r="G29" s="2">
        <v>2</v>
      </c>
      <c r="H29" s="2">
        <v>2</v>
      </c>
      <c r="I29" s="2">
        <v>2</v>
      </c>
      <c r="J29" s="2">
        <v>2</v>
      </c>
      <c r="K29" s="4">
        <v>0</v>
      </c>
      <c r="L29" s="2"/>
      <c r="M29" s="2"/>
      <c r="N29" s="2"/>
      <c r="O29" s="2"/>
      <c r="P29" s="2"/>
      <c r="Q29" s="2"/>
      <c r="R29" s="2"/>
      <c r="S29" s="2"/>
    </row>
    <row r="30" spans="1:19">
      <c r="A30" s="6"/>
      <c r="B30" s="6"/>
      <c r="C30" s="2"/>
      <c r="D30" s="24" t="s">
        <v>45</v>
      </c>
      <c r="E30" s="24"/>
      <c r="F30" s="2" t="s">
        <v>20</v>
      </c>
      <c r="G30" s="2">
        <v>1</v>
      </c>
      <c r="H30" s="2">
        <v>1</v>
      </c>
      <c r="I30" s="2">
        <v>1</v>
      </c>
      <c r="J30" s="2">
        <v>1</v>
      </c>
      <c r="K30" s="4">
        <v>0</v>
      </c>
      <c r="L30" s="2"/>
      <c r="M30" s="2"/>
      <c r="N30" s="2"/>
      <c r="O30" s="2"/>
      <c r="P30" s="2"/>
      <c r="Q30" s="2"/>
      <c r="R30" s="2"/>
      <c r="S30" s="2"/>
    </row>
    <row r="31" spans="1:19">
      <c r="A31" s="6"/>
      <c r="B31" s="6"/>
      <c r="C31" s="2"/>
      <c r="D31" s="24" t="s">
        <v>46</v>
      </c>
      <c r="E31" s="24"/>
      <c r="F31" s="2" t="s">
        <v>20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4">
        <v>0</v>
      </c>
      <c r="M31" s="2"/>
      <c r="N31" s="2"/>
      <c r="O31" s="2"/>
      <c r="P31" s="2"/>
      <c r="Q31" s="2"/>
      <c r="R31" s="2"/>
      <c r="S31" s="2"/>
    </row>
    <row r="32" spans="1:19">
      <c r="A32" s="6"/>
      <c r="B32" s="6"/>
      <c r="C32" s="2"/>
      <c r="D32" s="24" t="s">
        <v>47</v>
      </c>
      <c r="E32" s="24"/>
      <c r="F32" s="2" t="s">
        <v>23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4">
        <v>0</v>
      </c>
      <c r="M32" s="2"/>
      <c r="N32" s="2"/>
      <c r="O32" s="2"/>
      <c r="P32" s="2"/>
      <c r="Q32" s="2"/>
      <c r="R32" s="2"/>
      <c r="S32" s="2"/>
    </row>
    <row r="33" spans="1:19">
      <c r="A33" s="6"/>
      <c r="B33" s="6"/>
      <c r="C33" s="2"/>
      <c r="D33" s="24" t="s">
        <v>48</v>
      </c>
      <c r="E33" s="24"/>
      <c r="F33" s="2" t="s">
        <v>23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4">
        <v>0</v>
      </c>
      <c r="M33" s="2"/>
      <c r="N33" s="2"/>
      <c r="O33" s="2"/>
      <c r="P33" s="2"/>
      <c r="Q33" s="2"/>
      <c r="R33" s="2"/>
      <c r="S33" s="2"/>
    </row>
    <row r="34" spans="1:19">
      <c r="A34" s="6"/>
      <c r="B34" s="6"/>
      <c r="C34" s="2"/>
      <c r="D34" s="22" t="s">
        <v>49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1:19">
      <c r="A35" s="6"/>
      <c r="B35" s="6"/>
      <c r="C35" s="2"/>
      <c r="D35" s="25" t="s">
        <v>50</v>
      </c>
      <c r="E35" s="25"/>
      <c r="F35" s="2" t="s">
        <v>17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4">
        <v>0</v>
      </c>
      <c r="N35" s="2"/>
      <c r="O35" s="2"/>
      <c r="P35" s="2"/>
      <c r="Q35" s="2"/>
      <c r="R35" s="2"/>
      <c r="S35" s="2"/>
    </row>
    <row r="36" spans="1:19">
      <c r="A36" s="6"/>
      <c r="B36" s="6"/>
      <c r="C36" s="2"/>
      <c r="D36" s="25" t="s">
        <v>51</v>
      </c>
      <c r="E36" s="25"/>
      <c r="F36" s="2" t="s">
        <v>17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4">
        <v>0</v>
      </c>
      <c r="N36" s="2"/>
      <c r="O36" s="2"/>
      <c r="P36" s="2"/>
      <c r="Q36" s="2"/>
      <c r="R36" s="2"/>
      <c r="S36" s="2"/>
    </row>
    <row r="37" spans="1:19">
      <c r="A37" s="6"/>
      <c r="B37" s="6"/>
      <c r="C37" s="2"/>
      <c r="D37" s="25" t="s">
        <v>52</v>
      </c>
      <c r="E37" s="25"/>
      <c r="F37" s="2" t="s">
        <v>17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4">
        <v>0</v>
      </c>
      <c r="N37" s="2"/>
      <c r="O37" s="2"/>
      <c r="P37" s="2"/>
      <c r="Q37" s="2"/>
      <c r="R37" s="2"/>
      <c r="S37" s="2"/>
    </row>
    <row r="38" spans="1:19">
      <c r="A38" s="6"/>
      <c r="B38" s="6"/>
      <c r="C38" s="2"/>
      <c r="D38" s="25" t="s">
        <v>53</v>
      </c>
      <c r="E38" s="25"/>
      <c r="F38" s="2" t="s">
        <v>17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4">
        <v>0</v>
      </c>
      <c r="N38" s="4">
        <v>0</v>
      </c>
      <c r="O38" s="2"/>
      <c r="P38" s="2"/>
      <c r="Q38" s="2"/>
      <c r="R38" s="2"/>
      <c r="S38" s="2"/>
    </row>
    <row r="39" spans="1:19">
      <c r="A39" s="6"/>
      <c r="B39" s="6"/>
      <c r="C39" s="2"/>
      <c r="D39" s="25" t="s">
        <v>54</v>
      </c>
      <c r="E39" s="25"/>
      <c r="F39" s="2" t="s">
        <v>17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4">
        <v>0</v>
      </c>
      <c r="O39" s="2"/>
      <c r="P39" s="2"/>
      <c r="Q39" s="2"/>
      <c r="R39" s="2"/>
      <c r="S39" s="2"/>
    </row>
    <row r="40" spans="1:19">
      <c r="A40" s="6"/>
      <c r="B40" s="6"/>
      <c r="C40" s="2"/>
      <c r="D40" s="25" t="s">
        <v>55</v>
      </c>
      <c r="E40" s="25"/>
      <c r="F40" s="2" t="s">
        <v>17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4">
        <v>0</v>
      </c>
      <c r="O40" s="2"/>
      <c r="P40" s="2"/>
      <c r="Q40" s="2"/>
      <c r="R40" s="2"/>
      <c r="S40" s="2"/>
    </row>
    <row r="41" spans="1:19">
      <c r="A41" s="6"/>
      <c r="B41" s="6"/>
      <c r="C41" s="2"/>
      <c r="D41" s="25" t="s">
        <v>56</v>
      </c>
      <c r="E41" s="25"/>
      <c r="F41" s="2" t="s">
        <v>17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4">
        <v>0</v>
      </c>
      <c r="P41" s="2"/>
      <c r="Q41" s="2"/>
      <c r="R41" s="2"/>
      <c r="S41" s="2"/>
    </row>
    <row r="42" spans="1:19">
      <c r="A42" s="6"/>
      <c r="B42" s="6"/>
      <c r="C42" s="2"/>
      <c r="D42" s="25" t="s">
        <v>57</v>
      </c>
      <c r="E42" s="25"/>
      <c r="F42" s="2" t="s">
        <v>17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4">
        <v>0</v>
      </c>
      <c r="P42" s="2"/>
      <c r="Q42" s="2"/>
      <c r="R42" s="2"/>
      <c r="S42" s="2"/>
    </row>
    <row r="43" spans="1:19">
      <c r="A43" s="6"/>
      <c r="B43" s="6"/>
      <c r="C43" s="2"/>
      <c r="D43" s="25" t="s">
        <v>58</v>
      </c>
      <c r="E43" s="25"/>
      <c r="F43" s="2" t="s">
        <v>17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4">
        <v>0</v>
      </c>
      <c r="P43" s="2"/>
      <c r="Q43" s="2"/>
      <c r="R43" s="2"/>
      <c r="S43" s="2"/>
    </row>
    <row r="44" spans="1:19">
      <c r="A44" s="6"/>
      <c r="B44" s="6"/>
      <c r="C44" s="2"/>
      <c r="D44" s="22" t="s">
        <v>59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>
      <c r="A45" s="6"/>
      <c r="B45" s="6"/>
      <c r="C45" s="2"/>
      <c r="D45" s="25" t="s">
        <v>60</v>
      </c>
      <c r="E45" s="25"/>
      <c r="F45" s="2" t="s">
        <v>23</v>
      </c>
      <c r="G45" s="1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4">
        <v>0</v>
      </c>
      <c r="Q45" s="12"/>
      <c r="R45" s="12"/>
      <c r="S45" s="12"/>
    </row>
    <row r="46" spans="1:19">
      <c r="A46" s="6"/>
      <c r="B46" s="6"/>
      <c r="C46" s="2"/>
      <c r="D46" s="25" t="s">
        <v>61</v>
      </c>
      <c r="E46" s="25"/>
      <c r="F46" s="2" t="s">
        <v>23</v>
      </c>
      <c r="G46" s="1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4">
        <v>0</v>
      </c>
      <c r="Q46" s="12"/>
      <c r="R46" s="12"/>
      <c r="S46" s="12"/>
    </row>
    <row r="47" spans="1:19">
      <c r="A47" s="6"/>
      <c r="B47" s="6"/>
      <c r="C47" s="2"/>
      <c r="D47" s="25" t="s">
        <v>62</v>
      </c>
      <c r="E47" s="25"/>
      <c r="F47" s="2" t="s">
        <v>23</v>
      </c>
      <c r="G47" s="1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4">
        <v>0</v>
      </c>
      <c r="Q47" s="12"/>
      <c r="R47" s="12"/>
      <c r="S47" s="12"/>
    </row>
    <row r="48" spans="1:19">
      <c r="A48" s="6"/>
      <c r="B48" s="6"/>
      <c r="C48" s="2"/>
      <c r="D48" s="25" t="s">
        <v>63</v>
      </c>
      <c r="E48" s="25"/>
      <c r="F48" s="2" t="s">
        <v>23</v>
      </c>
      <c r="G48" s="1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4">
        <v>0</v>
      </c>
      <c r="R48" s="12"/>
      <c r="S48" s="12"/>
    </row>
    <row r="49" spans="1:21">
      <c r="A49" s="6"/>
      <c r="B49" s="6"/>
      <c r="C49" s="2"/>
      <c r="D49" s="25" t="s">
        <v>64</v>
      </c>
      <c r="E49" s="25"/>
      <c r="F49" s="2" t="s">
        <v>23</v>
      </c>
      <c r="G49" s="1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4">
        <v>0</v>
      </c>
      <c r="R49" s="12"/>
      <c r="S49" s="12"/>
    </row>
    <row r="50" spans="1:21">
      <c r="A50" s="6"/>
      <c r="B50" s="6"/>
      <c r="C50" s="2"/>
      <c r="D50" s="26" t="s">
        <v>65</v>
      </c>
      <c r="E50" s="26"/>
      <c r="F50" s="27" t="s">
        <v>32</v>
      </c>
      <c r="G50" s="2">
        <v>12</v>
      </c>
      <c r="H50" s="2">
        <v>12</v>
      </c>
      <c r="I50" s="2">
        <v>12</v>
      </c>
      <c r="J50" s="2">
        <v>12</v>
      </c>
      <c r="K50" s="2">
        <v>12</v>
      </c>
      <c r="L50" s="2">
        <v>12</v>
      </c>
      <c r="M50" s="2">
        <v>12</v>
      </c>
      <c r="N50" s="2">
        <v>12</v>
      </c>
      <c r="O50" s="2">
        <v>12</v>
      </c>
      <c r="P50" s="2">
        <v>12</v>
      </c>
      <c r="Q50" s="4">
        <v>0</v>
      </c>
      <c r="R50" s="2"/>
      <c r="S50" s="2"/>
    </row>
    <row r="51" spans="1:21">
      <c r="A51" s="6"/>
      <c r="B51" s="6"/>
      <c r="C51" s="2"/>
      <c r="D51" s="26" t="s">
        <v>66</v>
      </c>
      <c r="E51" s="26"/>
      <c r="F51" s="27" t="s">
        <v>32</v>
      </c>
      <c r="G51" s="2">
        <v>14</v>
      </c>
      <c r="H51" s="2">
        <v>14</v>
      </c>
      <c r="I51" s="2">
        <v>14</v>
      </c>
      <c r="J51" s="2">
        <v>14</v>
      </c>
      <c r="K51" s="2">
        <v>14</v>
      </c>
      <c r="L51" s="2">
        <v>14</v>
      </c>
      <c r="M51" s="2">
        <v>14</v>
      </c>
      <c r="N51" s="2">
        <v>14</v>
      </c>
      <c r="O51" s="2">
        <v>14</v>
      </c>
      <c r="P51" s="2">
        <v>14</v>
      </c>
      <c r="Q51" s="2">
        <v>14</v>
      </c>
      <c r="R51" s="4">
        <v>0</v>
      </c>
      <c r="S51" s="2"/>
    </row>
    <row r="52" spans="1:21">
      <c r="A52" s="6"/>
      <c r="B52" s="6"/>
      <c r="C52" s="2"/>
      <c r="D52" s="26" t="s">
        <v>67</v>
      </c>
      <c r="E52" s="26"/>
      <c r="F52" s="27" t="s">
        <v>32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4">
        <v>0</v>
      </c>
      <c r="S52" s="2"/>
    </row>
    <row r="53" spans="1:21">
      <c r="A53" s="6"/>
      <c r="B53" s="6"/>
      <c r="C53" s="2"/>
      <c r="D53" s="26" t="s">
        <v>68</v>
      </c>
      <c r="E53" s="26"/>
      <c r="F53" s="27" t="s">
        <v>32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4">
        <v>0</v>
      </c>
    </row>
    <row r="54" spans="1:21">
      <c r="A54" s="6"/>
      <c r="B54" s="6"/>
      <c r="C54" s="2"/>
      <c r="D54" s="2"/>
      <c r="E54" s="2"/>
      <c r="F54" s="28" t="s">
        <v>25</v>
      </c>
      <c r="G54" s="2">
        <f t="shared" ref="G54:R54" si="0">SUM(G17:G53)</f>
        <v>80</v>
      </c>
      <c r="H54" s="2">
        <f t="shared" si="0"/>
        <v>74</v>
      </c>
      <c r="I54" s="2">
        <f t="shared" si="0"/>
        <v>64</v>
      </c>
      <c r="J54" s="2">
        <f t="shared" si="0"/>
        <v>58</v>
      </c>
      <c r="K54" s="2">
        <f t="shared" si="0"/>
        <v>53</v>
      </c>
      <c r="L54" s="2">
        <f t="shared" si="0"/>
        <v>49</v>
      </c>
      <c r="M54" s="2">
        <f t="shared" si="0"/>
        <v>41</v>
      </c>
      <c r="N54" s="2">
        <f t="shared" si="0"/>
        <v>37</v>
      </c>
      <c r="O54" s="2">
        <f t="shared" si="0"/>
        <v>33</v>
      </c>
      <c r="P54" s="2">
        <f t="shared" si="0"/>
        <v>30</v>
      </c>
      <c r="Q54" s="2">
        <f t="shared" si="0"/>
        <v>16</v>
      </c>
      <c r="R54" s="2">
        <f t="shared" si="0"/>
        <v>1</v>
      </c>
      <c r="S54" s="4">
        <v>0</v>
      </c>
    </row>
    <row r="55" spans="1:2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>
      <c r="A79" s="6"/>
      <c r="B79" s="6"/>
    </row>
    <row r="80" spans="1:21">
      <c r="A80" s="6"/>
      <c r="B80" s="6"/>
    </row>
    <row r="81" spans="1:2">
      <c r="A81" s="6"/>
      <c r="B81" s="6"/>
    </row>
    <row r="82" spans="1:2">
      <c r="A82" s="6"/>
      <c r="B82" s="6"/>
    </row>
    <row r="83" spans="1:2">
      <c r="A83" s="6"/>
      <c r="B83" s="6"/>
    </row>
    <row r="84" spans="1:2">
      <c r="A84" s="6"/>
      <c r="B84" s="6"/>
    </row>
    <row r="85" spans="1:2">
      <c r="A85" s="6"/>
      <c r="B85" s="6"/>
    </row>
    <row r="86" spans="1:2">
      <c r="A86" s="6"/>
      <c r="B86" s="6"/>
    </row>
    <row r="87" spans="1:2">
      <c r="A87" s="6"/>
      <c r="B87" s="6"/>
    </row>
    <row r="88" spans="1:2">
      <c r="A88" s="6"/>
      <c r="B88" s="6"/>
    </row>
  </sheetData>
  <mergeCells count="83">
    <mergeCell ref="C2:D2"/>
    <mergeCell ref="C3:D3"/>
    <mergeCell ref="C4:D4"/>
    <mergeCell ref="C5:D5"/>
    <mergeCell ref="C6:D6"/>
    <mergeCell ref="D8:E8"/>
    <mergeCell ref="H8:I8"/>
    <mergeCell ref="J8:M8"/>
    <mergeCell ref="H9:I9"/>
    <mergeCell ref="J9:M9"/>
    <mergeCell ref="H10:I10"/>
    <mergeCell ref="J10:M10"/>
    <mergeCell ref="H11:I11"/>
    <mergeCell ref="J11:M11"/>
    <mergeCell ref="H12:I12"/>
    <mergeCell ref="J12:M12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3"/>
  <sheetViews>
    <sheetView showGridLines="0" zoomScale="70" zoomScaleNormal="70" topLeftCell="A19" workbookViewId="0">
      <selection activeCell="U14" sqref="U14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48.7777777777778" style="5" customWidth="1"/>
    <col min="6" max="6" width="12.2222222222222" style="5" customWidth="1"/>
    <col min="7" max="7" width="10" style="5"/>
    <col min="8" max="29" width="6.35185185185185" style="5" customWidth="1"/>
    <col min="30" max="30" width="5.07407407407407" style="5" customWidth="1"/>
    <col min="31" max="16384" width="10" style="5"/>
  </cols>
  <sheetData>
    <row r="1" s="5" customFormat="1" ht="15" customHeight="1" spans="1:19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5" customFormat="1" ht="43" customHeight="1" spans="1:19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="5" customFormat="1" spans="1:19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="5" customFormat="1" spans="1:19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</row>
    <row r="5" s="5" customFormat="1" spans="1:19">
      <c r="A5" s="6"/>
      <c r="B5" s="6"/>
      <c r="C5" s="2" t="s">
        <v>6</v>
      </c>
      <c r="D5" s="2"/>
      <c r="E5" s="9">
        <v>46296</v>
      </c>
      <c r="F5" s="7"/>
      <c r="G5" s="7"/>
      <c r="H5" s="7"/>
      <c r="I5" s="7"/>
      <c r="J5" s="7"/>
      <c r="K5" s="7"/>
      <c r="L5" s="7"/>
      <c r="M5" s="7"/>
      <c r="N5" s="7"/>
    </row>
    <row r="6" s="5" customFormat="1" spans="1:19">
      <c r="A6" s="6"/>
      <c r="B6" s="6"/>
      <c r="C6" s="2" t="s">
        <v>7</v>
      </c>
      <c r="D6" s="2"/>
      <c r="E6" s="9">
        <v>46307</v>
      </c>
      <c r="F6" s="7"/>
      <c r="G6" s="7"/>
      <c r="H6" s="7"/>
      <c r="I6" s="7"/>
      <c r="J6" s="7"/>
      <c r="K6" s="7"/>
      <c r="L6" s="7"/>
      <c r="M6" s="7"/>
      <c r="N6" s="7"/>
    </row>
    <row r="7" s="5" customFormat="1" spans="1:19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="5" customFormat="1" spans="1:19">
      <c r="A8" s="6"/>
      <c r="B8" s="6"/>
      <c r="C8" s="8" t="s">
        <v>8</v>
      </c>
      <c r="D8" s="10" t="s">
        <v>9</v>
      </c>
      <c r="E8" s="8"/>
      <c r="F8" s="8" t="s">
        <v>10</v>
      </c>
      <c r="G8" s="8" t="s">
        <v>69</v>
      </c>
      <c r="N8" s="7"/>
    </row>
    <row r="9" s="5" customFormat="1" spans="1:19">
      <c r="A9" s="6"/>
      <c r="B9" s="6"/>
      <c r="C9" s="2">
        <v>1</v>
      </c>
      <c r="D9" s="2" t="s">
        <v>11</v>
      </c>
      <c r="E9" s="11" t="s">
        <v>12</v>
      </c>
      <c r="F9" s="12">
        <v>14</v>
      </c>
      <c r="G9" s="12">
        <v>14</v>
      </c>
      <c r="J9" s="4"/>
      <c r="K9" s="4"/>
      <c r="L9" s="2" t="s">
        <v>13</v>
      </c>
      <c r="M9" s="2"/>
      <c r="N9" s="2"/>
      <c r="O9" s="2"/>
    </row>
    <row r="10" s="5" customFormat="1" spans="1:19">
      <c r="A10" s="6"/>
      <c r="B10" s="6"/>
      <c r="C10" s="2">
        <v>2</v>
      </c>
      <c r="D10" s="2" t="s">
        <v>14</v>
      </c>
      <c r="E10" s="11" t="s">
        <v>15</v>
      </c>
      <c r="F10" s="12">
        <v>15</v>
      </c>
      <c r="G10" s="12">
        <v>15</v>
      </c>
      <c r="J10" s="13"/>
      <c r="K10" s="13"/>
      <c r="L10" s="2" t="s">
        <v>16</v>
      </c>
      <c r="M10" s="2"/>
      <c r="N10" s="2"/>
      <c r="O10" s="2"/>
    </row>
    <row r="11" s="5" customFormat="1" spans="1:19">
      <c r="A11" s="6"/>
      <c r="B11" s="6"/>
      <c r="C11" s="2">
        <v>3</v>
      </c>
      <c r="D11" s="2" t="s">
        <v>17</v>
      </c>
      <c r="E11" s="11" t="s">
        <v>18</v>
      </c>
      <c r="F11" s="12">
        <v>23</v>
      </c>
      <c r="G11" s="12">
        <v>23</v>
      </c>
      <c r="J11" s="14"/>
      <c r="K11" s="14"/>
      <c r="L11" s="2" t="s">
        <v>19</v>
      </c>
      <c r="M11" s="2"/>
      <c r="N11" s="2"/>
      <c r="O11" s="2"/>
    </row>
    <row r="12" s="5" customFormat="1" spans="1:19">
      <c r="A12" s="6"/>
      <c r="B12" s="6"/>
      <c r="C12" s="2">
        <v>4</v>
      </c>
      <c r="D12" s="2" t="s">
        <v>20</v>
      </c>
      <c r="E12" s="11" t="s">
        <v>21</v>
      </c>
      <c r="F12" s="12">
        <v>14</v>
      </c>
      <c r="G12" s="12">
        <v>14</v>
      </c>
      <c r="J12" s="15"/>
      <c r="K12" s="16"/>
      <c r="L12" s="2" t="s">
        <v>22</v>
      </c>
      <c r="M12" s="2"/>
      <c r="N12" s="2"/>
      <c r="O12" s="2"/>
    </row>
    <row r="13" s="5" customFormat="1" spans="1:19">
      <c r="A13" s="6"/>
      <c r="B13" s="6"/>
      <c r="C13" s="2">
        <v>5</v>
      </c>
      <c r="D13" s="2" t="s">
        <v>23</v>
      </c>
      <c r="E13" s="11" t="s">
        <v>24</v>
      </c>
      <c r="F13" s="12">
        <v>14</v>
      </c>
      <c r="G13" s="12">
        <v>14</v>
      </c>
      <c r="H13" s="7"/>
      <c r="I13" s="7"/>
      <c r="J13" s="7"/>
      <c r="K13" s="7"/>
      <c r="L13" s="7"/>
      <c r="M13" s="7"/>
      <c r="N13" s="7"/>
    </row>
    <row r="14" s="5" customFormat="1" spans="1:19">
      <c r="A14" s="6"/>
      <c r="B14" s="6"/>
      <c r="C14" s="2" t="s">
        <v>25</v>
      </c>
      <c r="D14" s="2"/>
      <c r="E14" s="2"/>
      <c r="F14" s="12">
        <f>SUM(F9:F13)</f>
        <v>80</v>
      </c>
      <c r="G14" s="12">
        <f>SUM(G9:G13)</f>
        <v>80</v>
      </c>
      <c r="H14" s="7"/>
      <c r="I14" s="7"/>
      <c r="J14" s="7"/>
      <c r="K14" s="7"/>
      <c r="L14" s="7"/>
      <c r="M14" s="7"/>
      <c r="N14" s="7"/>
    </row>
    <row r="15" s="5" customFormat="1" spans="1:19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="5" customFormat="1" ht="72" customHeight="1" spans="1:19">
      <c r="A16" s="6"/>
      <c r="B16" s="6"/>
      <c r="C16" s="2" t="s">
        <v>26</v>
      </c>
      <c r="D16" s="17" t="s">
        <v>27</v>
      </c>
      <c r="E16" s="17" t="s">
        <v>28</v>
      </c>
      <c r="F16" s="11" t="s">
        <v>29</v>
      </c>
      <c r="G16" s="2" t="s">
        <v>69</v>
      </c>
      <c r="H16" s="18">
        <v>46296</v>
      </c>
      <c r="I16" s="18">
        <v>46297</v>
      </c>
      <c r="J16" s="18">
        <v>46298</v>
      </c>
      <c r="K16" s="18">
        <v>46299</v>
      </c>
      <c r="L16" s="18">
        <v>46300</v>
      </c>
      <c r="M16" s="18">
        <v>46301</v>
      </c>
      <c r="N16" s="18">
        <v>46302</v>
      </c>
      <c r="O16" s="18">
        <v>46303</v>
      </c>
      <c r="P16" s="18">
        <v>46304</v>
      </c>
      <c r="Q16" s="18">
        <v>46305</v>
      </c>
      <c r="R16" s="18">
        <v>46306</v>
      </c>
      <c r="S16" s="18">
        <v>46307</v>
      </c>
    </row>
    <row r="17" s="5" customFormat="1" spans="1:19">
      <c r="A17" s="6"/>
      <c r="B17" s="6"/>
      <c r="C17" s="2"/>
      <c r="D17" s="19" t="s">
        <v>31</v>
      </c>
      <c r="E17" s="19"/>
      <c r="F17" s="20" t="s">
        <v>32</v>
      </c>
      <c r="G17" s="21">
        <v>3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="5" customFormat="1" spans="1:19">
      <c r="A18" s="6"/>
      <c r="B18" s="6"/>
      <c r="C18" s="2"/>
      <c r="D18" s="19" t="s">
        <v>33</v>
      </c>
      <c r="E18" s="19"/>
      <c r="F18" s="21" t="s">
        <v>11</v>
      </c>
      <c r="G18" s="21">
        <v>3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="5" customFormat="1" spans="1:19">
      <c r="A19" s="6"/>
      <c r="B19" s="6"/>
      <c r="C19" s="2"/>
      <c r="D19" s="19" t="s">
        <v>34</v>
      </c>
      <c r="E19" s="19"/>
      <c r="F19" s="21" t="s">
        <v>11</v>
      </c>
      <c r="G19" s="21">
        <v>4</v>
      </c>
      <c r="H19" s="21">
        <v>4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="5" customFormat="1" spans="1:19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="5" customFormat="1" spans="1:19">
      <c r="A21" s="6"/>
      <c r="B21" s="6"/>
      <c r="C21" s="2"/>
      <c r="D21" s="22" t="s">
        <v>36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="5" customFormat="1" spans="1:19">
      <c r="A22" s="6"/>
      <c r="B22" s="6"/>
      <c r="C22" s="2"/>
      <c r="D22" s="24" t="s">
        <v>37</v>
      </c>
      <c r="E22" s="24"/>
      <c r="F22" s="2" t="s">
        <v>17</v>
      </c>
      <c r="G22" s="2">
        <v>3</v>
      </c>
      <c r="H22" s="2">
        <v>3</v>
      </c>
      <c r="I22" s="4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="5" customFormat="1" spans="1:19">
      <c r="A23" s="6"/>
      <c r="B23" s="6"/>
      <c r="C23" s="2"/>
      <c r="D23" s="22" t="s">
        <v>38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="5" customFormat="1" spans="1:19">
      <c r="A24" s="6"/>
      <c r="B24" s="6"/>
      <c r="C24" s="2"/>
      <c r="D24" s="24" t="s">
        <v>39</v>
      </c>
      <c r="E24" s="24"/>
      <c r="F24" s="12" t="s">
        <v>11</v>
      </c>
      <c r="G24" s="2">
        <v>3</v>
      </c>
      <c r="H24" s="2">
        <v>3</v>
      </c>
      <c r="I24" s="4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="5" customFormat="1" spans="1:19">
      <c r="A25" s="6"/>
      <c r="B25" s="6"/>
      <c r="C25" s="2"/>
      <c r="D25" s="24" t="s">
        <v>40</v>
      </c>
      <c r="E25" s="24"/>
      <c r="F25" s="2" t="s">
        <v>20</v>
      </c>
      <c r="G25" s="2">
        <v>4</v>
      </c>
      <c r="H25" s="2">
        <v>4</v>
      </c>
      <c r="I25" s="2">
        <v>4</v>
      </c>
      <c r="J25" s="4">
        <v>0</v>
      </c>
      <c r="K25" s="2"/>
      <c r="L25" s="2"/>
      <c r="M25" s="2"/>
      <c r="N25" s="2"/>
      <c r="O25" s="2"/>
      <c r="P25" s="2"/>
      <c r="Q25" s="2"/>
      <c r="R25" s="2"/>
      <c r="S25" s="2"/>
    </row>
    <row r="26" s="5" customFormat="1" spans="1:19">
      <c r="A26" s="6"/>
      <c r="B26" s="6"/>
      <c r="C26" s="2"/>
      <c r="D26" s="24" t="s">
        <v>41</v>
      </c>
      <c r="E26" s="24"/>
      <c r="F26" s="2" t="s">
        <v>20</v>
      </c>
      <c r="G26" s="2">
        <v>1</v>
      </c>
      <c r="H26" s="2">
        <v>1</v>
      </c>
      <c r="I26" s="2">
        <v>1</v>
      </c>
      <c r="J26" s="4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="5" customFormat="1" spans="1:19">
      <c r="A27" s="6"/>
      <c r="B27" s="6"/>
      <c r="C27" s="2"/>
      <c r="D27" s="24" t="s">
        <v>42</v>
      </c>
      <c r="E27" s="24"/>
      <c r="F27" s="2" t="s">
        <v>20</v>
      </c>
      <c r="G27" s="2">
        <v>1</v>
      </c>
      <c r="H27" s="2">
        <v>1</v>
      </c>
      <c r="I27" s="2">
        <v>1</v>
      </c>
      <c r="J27" s="4">
        <v>0</v>
      </c>
      <c r="K27" s="2"/>
      <c r="L27" s="2"/>
      <c r="M27" s="2"/>
      <c r="N27" s="2"/>
      <c r="O27" s="2"/>
      <c r="P27" s="2"/>
      <c r="Q27" s="2"/>
      <c r="R27" s="2"/>
      <c r="S27" s="2"/>
    </row>
    <row r="28" s="5" customFormat="1" spans="1:19">
      <c r="A28" s="6"/>
      <c r="B28" s="6"/>
      <c r="C28" s="2"/>
      <c r="D28" s="24" t="s">
        <v>43</v>
      </c>
      <c r="E28" s="24"/>
      <c r="F28" s="2" t="s">
        <v>14</v>
      </c>
      <c r="G28" s="2">
        <v>2</v>
      </c>
      <c r="H28" s="2">
        <v>2</v>
      </c>
      <c r="I28" s="2">
        <v>2</v>
      </c>
      <c r="J28" s="2">
        <v>2</v>
      </c>
      <c r="K28" s="4">
        <v>0</v>
      </c>
      <c r="L28" s="2"/>
      <c r="M28" s="2"/>
      <c r="N28" s="2"/>
      <c r="O28" s="2"/>
      <c r="P28" s="2"/>
      <c r="Q28" s="2"/>
      <c r="R28" s="2"/>
      <c r="S28" s="2"/>
    </row>
    <row r="29" s="5" customFormat="1" spans="1:19">
      <c r="A29" s="6"/>
      <c r="B29" s="6"/>
      <c r="C29" s="2"/>
      <c r="D29" s="24" t="s">
        <v>44</v>
      </c>
      <c r="E29" s="24"/>
      <c r="F29" s="2" t="s">
        <v>23</v>
      </c>
      <c r="G29" s="2">
        <v>2</v>
      </c>
      <c r="H29" s="2">
        <v>2</v>
      </c>
      <c r="I29" s="2">
        <v>2</v>
      </c>
      <c r="J29" s="2">
        <v>2</v>
      </c>
      <c r="K29" s="4">
        <v>0</v>
      </c>
      <c r="L29" s="2"/>
      <c r="M29" s="2"/>
      <c r="N29" s="2"/>
      <c r="O29" s="2"/>
      <c r="P29" s="2"/>
      <c r="Q29" s="2"/>
      <c r="R29" s="2"/>
      <c r="S29" s="2"/>
    </row>
    <row r="30" s="5" customFormat="1" spans="1:19">
      <c r="A30" s="6"/>
      <c r="B30" s="6"/>
      <c r="C30" s="2"/>
      <c r="D30" s="24" t="s">
        <v>45</v>
      </c>
      <c r="E30" s="24"/>
      <c r="F30" s="2" t="s">
        <v>20</v>
      </c>
      <c r="G30" s="2">
        <v>1</v>
      </c>
      <c r="H30" s="2">
        <v>1</v>
      </c>
      <c r="I30" s="2">
        <v>1</v>
      </c>
      <c r="J30" s="2">
        <v>1</v>
      </c>
      <c r="K30" s="4">
        <v>0</v>
      </c>
      <c r="L30" s="2"/>
      <c r="M30" s="2"/>
      <c r="N30" s="2"/>
      <c r="O30" s="2"/>
      <c r="P30" s="2"/>
      <c r="Q30" s="2"/>
      <c r="R30" s="2"/>
      <c r="S30" s="2"/>
    </row>
    <row r="31" s="5" customFormat="1" spans="1:19">
      <c r="A31" s="6"/>
      <c r="B31" s="6"/>
      <c r="C31" s="2"/>
      <c r="D31" s="24" t="s">
        <v>46</v>
      </c>
      <c r="E31" s="24"/>
      <c r="F31" s="2" t="s">
        <v>20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4">
        <v>0</v>
      </c>
      <c r="M31" s="2"/>
      <c r="N31" s="2"/>
      <c r="O31" s="2"/>
      <c r="P31" s="2"/>
      <c r="Q31" s="2"/>
      <c r="R31" s="2"/>
      <c r="S31" s="2"/>
    </row>
    <row r="32" s="5" customFormat="1" spans="1:19">
      <c r="A32" s="6"/>
      <c r="B32" s="6"/>
      <c r="C32" s="2"/>
      <c r="D32" s="24" t="s">
        <v>47</v>
      </c>
      <c r="E32" s="24"/>
      <c r="F32" s="2" t="s">
        <v>23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4">
        <v>0</v>
      </c>
      <c r="M32" s="2"/>
      <c r="N32" s="2"/>
      <c r="O32" s="2"/>
      <c r="P32" s="2"/>
      <c r="Q32" s="2"/>
      <c r="R32" s="2"/>
      <c r="S32" s="2"/>
    </row>
    <row r="33" s="5" customFormat="1" spans="1:19">
      <c r="A33" s="6"/>
      <c r="B33" s="6"/>
      <c r="C33" s="2"/>
      <c r="D33" s="24" t="s">
        <v>48</v>
      </c>
      <c r="E33" s="24"/>
      <c r="F33" s="2" t="s">
        <v>23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4">
        <v>0</v>
      </c>
      <c r="M33" s="2"/>
      <c r="N33" s="2"/>
      <c r="O33" s="2"/>
      <c r="P33" s="2"/>
      <c r="Q33" s="2"/>
      <c r="R33" s="2"/>
      <c r="S33" s="2"/>
    </row>
    <row r="34" s="5" customFormat="1" spans="1:19">
      <c r="A34" s="6"/>
      <c r="B34" s="6"/>
      <c r="C34" s="2"/>
      <c r="D34" s="22" t="s">
        <v>49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="5" customFormat="1" spans="1:19">
      <c r="A35" s="6"/>
      <c r="B35" s="6"/>
      <c r="C35" s="2"/>
      <c r="D35" s="25" t="s">
        <v>50</v>
      </c>
      <c r="E35" s="25"/>
      <c r="F35" s="2" t="s">
        <v>17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4">
        <v>0</v>
      </c>
      <c r="N35" s="2"/>
      <c r="O35" s="2"/>
      <c r="P35" s="2"/>
      <c r="Q35" s="2"/>
      <c r="R35" s="2"/>
      <c r="S35" s="2"/>
    </row>
    <row r="36" s="5" customFormat="1" spans="1:19">
      <c r="A36" s="6"/>
      <c r="B36" s="6"/>
      <c r="C36" s="2"/>
      <c r="D36" s="25" t="s">
        <v>51</v>
      </c>
      <c r="E36" s="25"/>
      <c r="F36" s="2" t="s">
        <v>17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4">
        <v>0</v>
      </c>
      <c r="N36" s="2"/>
      <c r="O36" s="2"/>
      <c r="P36" s="2"/>
      <c r="Q36" s="2"/>
      <c r="R36" s="2"/>
      <c r="S36" s="2"/>
    </row>
    <row r="37" s="5" customFormat="1" spans="1:19">
      <c r="A37" s="6"/>
      <c r="B37" s="6"/>
      <c r="C37" s="2"/>
      <c r="D37" s="25" t="s">
        <v>52</v>
      </c>
      <c r="E37" s="25"/>
      <c r="F37" s="2" t="s">
        <v>17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4">
        <v>0</v>
      </c>
      <c r="N37" s="2"/>
      <c r="O37" s="2"/>
      <c r="P37" s="2"/>
      <c r="Q37" s="2"/>
      <c r="R37" s="2"/>
      <c r="S37" s="2"/>
    </row>
    <row r="38" s="5" customFormat="1" spans="1:19">
      <c r="A38" s="6"/>
      <c r="B38" s="6"/>
      <c r="C38" s="2"/>
      <c r="D38" s="25" t="s">
        <v>53</v>
      </c>
      <c r="E38" s="25"/>
      <c r="F38" s="2" t="s">
        <v>17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4">
        <v>0</v>
      </c>
      <c r="N38" s="4">
        <v>0</v>
      </c>
      <c r="O38" s="2"/>
      <c r="P38" s="2"/>
      <c r="Q38" s="2"/>
      <c r="R38" s="2"/>
      <c r="S38" s="2"/>
    </row>
    <row r="39" s="5" customFormat="1" spans="1:19">
      <c r="A39" s="6"/>
      <c r="B39" s="6"/>
      <c r="C39" s="2"/>
      <c r="D39" s="25" t="s">
        <v>54</v>
      </c>
      <c r="E39" s="25"/>
      <c r="F39" s="2" t="s">
        <v>17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4">
        <v>0</v>
      </c>
      <c r="O39" s="2"/>
      <c r="P39" s="2"/>
      <c r="Q39" s="2"/>
      <c r="R39" s="2"/>
      <c r="S39" s="2"/>
    </row>
    <row r="40" s="5" customFormat="1" spans="1:19">
      <c r="A40" s="6"/>
      <c r="B40" s="6"/>
      <c r="C40" s="2"/>
      <c r="D40" s="25" t="s">
        <v>55</v>
      </c>
      <c r="E40" s="25"/>
      <c r="F40" s="2" t="s">
        <v>17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4">
        <v>0</v>
      </c>
      <c r="O40" s="2"/>
      <c r="P40" s="2"/>
      <c r="Q40" s="2"/>
      <c r="R40" s="2"/>
      <c r="S40" s="2"/>
    </row>
    <row r="41" s="5" customFormat="1" spans="1:19">
      <c r="A41" s="6"/>
      <c r="B41" s="6"/>
      <c r="C41" s="2"/>
      <c r="D41" s="25" t="s">
        <v>56</v>
      </c>
      <c r="E41" s="25"/>
      <c r="F41" s="2" t="s">
        <v>17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4">
        <v>0</v>
      </c>
      <c r="P41" s="2"/>
      <c r="Q41" s="2"/>
      <c r="R41" s="2"/>
      <c r="S41" s="2"/>
    </row>
    <row r="42" s="5" customFormat="1" spans="1:19">
      <c r="A42" s="6"/>
      <c r="B42" s="6"/>
      <c r="C42" s="2"/>
      <c r="D42" s="25" t="s">
        <v>57</v>
      </c>
      <c r="E42" s="25"/>
      <c r="F42" s="2" t="s">
        <v>17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4">
        <v>0</v>
      </c>
      <c r="P42" s="2"/>
      <c r="Q42" s="2"/>
      <c r="R42" s="2"/>
      <c r="S42" s="2"/>
    </row>
    <row r="43" s="5" customFormat="1" spans="1:19">
      <c r="A43" s="6"/>
      <c r="B43" s="6"/>
      <c r="C43" s="2"/>
      <c r="D43" s="25" t="s">
        <v>58</v>
      </c>
      <c r="E43" s="25"/>
      <c r="F43" s="2" t="s">
        <v>17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4">
        <v>0</v>
      </c>
      <c r="P43" s="2"/>
      <c r="Q43" s="2"/>
      <c r="R43" s="2"/>
      <c r="S43" s="2"/>
    </row>
    <row r="44" s="5" customFormat="1" spans="1:19">
      <c r="A44" s="6"/>
      <c r="B44" s="6"/>
      <c r="C44" s="2"/>
      <c r="D44" s="22" t="s">
        <v>59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="5" customFormat="1" spans="1:19">
      <c r="A45" s="6"/>
      <c r="B45" s="6"/>
      <c r="C45" s="2"/>
      <c r="D45" s="25" t="s">
        <v>60</v>
      </c>
      <c r="E45" s="25"/>
      <c r="F45" s="2" t="s">
        <v>23</v>
      </c>
      <c r="G45" s="1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4">
        <v>0</v>
      </c>
      <c r="Q45" s="12"/>
      <c r="R45" s="12"/>
      <c r="S45" s="12"/>
    </row>
    <row r="46" s="5" customFormat="1" spans="1:19">
      <c r="A46" s="6"/>
      <c r="B46" s="6"/>
      <c r="C46" s="2"/>
      <c r="D46" s="25" t="s">
        <v>61</v>
      </c>
      <c r="E46" s="25"/>
      <c r="F46" s="2" t="s">
        <v>23</v>
      </c>
      <c r="G46" s="1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4">
        <v>0</v>
      </c>
      <c r="Q46" s="12"/>
      <c r="R46" s="12"/>
      <c r="S46" s="12"/>
    </row>
    <row r="47" s="5" customFormat="1" spans="1:19">
      <c r="A47" s="6"/>
      <c r="B47" s="6"/>
      <c r="C47" s="2"/>
      <c r="D47" s="25" t="s">
        <v>62</v>
      </c>
      <c r="E47" s="25"/>
      <c r="F47" s="2" t="s">
        <v>23</v>
      </c>
      <c r="G47" s="1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4">
        <v>0</v>
      </c>
      <c r="Q47" s="12"/>
      <c r="R47" s="12"/>
      <c r="S47" s="12"/>
    </row>
    <row r="48" s="5" customFormat="1" spans="1:19">
      <c r="A48" s="6"/>
      <c r="B48" s="6"/>
      <c r="C48" s="2"/>
      <c r="D48" s="25" t="s">
        <v>63</v>
      </c>
      <c r="E48" s="25"/>
      <c r="F48" s="2" t="s">
        <v>23</v>
      </c>
      <c r="G48" s="1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4">
        <v>0</v>
      </c>
      <c r="R48" s="12"/>
      <c r="S48" s="12"/>
    </row>
    <row r="49" s="5" customFormat="1" spans="1:31">
      <c r="A49" s="6"/>
      <c r="B49" s="6"/>
      <c r="C49" s="2"/>
      <c r="D49" s="25" t="s">
        <v>64</v>
      </c>
      <c r="E49" s="25"/>
      <c r="F49" s="2" t="s">
        <v>23</v>
      </c>
      <c r="G49" s="1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4">
        <v>0</v>
      </c>
      <c r="R49" s="12"/>
      <c r="S49" s="12"/>
    </row>
    <row r="50" s="5" customFormat="1" spans="1:31">
      <c r="A50" s="6"/>
      <c r="B50" s="6"/>
      <c r="C50" s="2"/>
      <c r="D50" s="26" t="s">
        <v>65</v>
      </c>
      <c r="E50" s="26"/>
      <c r="F50" s="27" t="s">
        <v>32</v>
      </c>
      <c r="G50" s="2">
        <v>12</v>
      </c>
      <c r="H50" s="2">
        <v>12</v>
      </c>
      <c r="I50" s="2">
        <v>12</v>
      </c>
      <c r="J50" s="2">
        <v>12</v>
      </c>
      <c r="K50" s="2">
        <v>12</v>
      </c>
      <c r="L50" s="2">
        <v>12</v>
      </c>
      <c r="M50" s="2">
        <v>12</v>
      </c>
      <c r="N50" s="2">
        <v>12</v>
      </c>
      <c r="O50" s="2">
        <v>12</v>
      </c>
      <c r="P50" s="2">
        <v>12</v>
      </c>
      <c r="Q50" s="4">
        <v>0</v>
      </c>
      <c r="R50" s="2"/>
      <c r="S50" s="2"/>
    </row>
    <row r="51" s="5" customFormat="1" spans="1:31">
      <c r="A51" s="6"/>
      <c r="B51" s="6"/>
      <c r="C51" s="2"/>
      <c r="D51" s="26" t="s">
        <v>66</v>
      </c>
      <c r="E51" s="26"/>
      <c r="F51" s="27" t="s">
        <v>32</v>
      </c>
      <c r="G51" s="2">
        <v>14</v>
      </c>
      <c r="H51" s="2">
        <v>14</v>
      </c>
      <c r="I51" s="2">
        <v>14</v>
      </c>
      <c r="J51" s="2">
        <v>14</v>
      </c>
      <c r="K51" s="2">
        <v>14</v>
      </c>
      <c r="L51" s="2">
        <v>14</v>
      </c>
      <c r="M51" s="2">
        <v>14</v>
      </c>
      <c r="N51" s="2">
        <v>14</v>
      </c>
      <c r="O51" s="2">
        <v>14</v>
      </c>
      <c r="P51" s="2">
        <v>14</v>
      </c>
      <c r="Q51" s="2">
        <v>14</v>
      </c>
      <c r="R51" s="4">
        <v>0</v>
      </c>
      <c r="S51" s="2"/>
    </row>
    <row r="52" s="5" customFormat="1" spans="1:31">
      <c r="A52" s="6"/>
      <c r="B52" s="6"/>
      <c r="C52" s="2"/>
      <c r="D52" s="26" t="s">
        <v>67</v>
      </c>
      <c r="E52" s="26"/>
      <c r="F52" s="27" t="s">
        <v>32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4">
        <v>0</v>
      </c>
      <c r="S52" s="2"/>
    </row>
    <row r="53" s="5" customFormat="1" spans="1:31">
      <c r="A53" s="6"/>
      <c r="B53" s="6"/>
      <c r="C53" s="2"/>
      <c r="D53" s="26" t="s">
        <v>68</v>
      </c>
      <c r="E53" s="26"/>
      <c r="F53" s="27" t="s">
        <v>32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4">
        <v>0</v>
      </c>
    </row>
    <row r="54" s="5" customFormat="1" spans="1:31">
      <c r="A54" s="6"/>
      <c r="B54" s="6"/>
      <c r="C54" s="2"/>
      <c r="D54" s="2"/>
      <c r="E54" s="2"/>
      <c r="F54" s="28" t="s">
        <v>25</v>
      </c>
      <c r="G54" s="2">
        <f>SUM(G17:G53)</f>
        <v>80</v>
      </c>
      <c r="H54" s="2">
        <f t="shared" ref="H54:R54" si="0">SUM(H17:H53)</f>
        <v>74</v>
      </c>
      <c r="I54" s="2">
        <f t="shared" si="0"/>
        <v>64</v>
      </c>
      <c r="J54" s="2">
        <f t="shared" si="0"/>
        <v>58</v>
      </c>
      <c r="K54" s="2">
        <f t="shared" si="0"/>
        <v>53</v>
      </c>
      <c r="L54" s="2">
        <f t="shared" si="0"/>
        <v>49</v>
      </c>
      <c r="M54" s="2">
        <f t="shared" si="0"/>
        <v>41</v>
      </c>
      <c r="N54" s="2">
        <f t="shared" si="0"/>
        <v>37</v>
      </c>
      <c r="O54" s="2">
        <f t="shared" si="0"/>
        <v>33</v>
      </c>
      <c r="P54" s="2">
        <f t="shared" si="0"/>
        <v>30</v>
      </c>
      <c r="Q54" s="2">
        <f t="shared" si="0"/>
        <v>16</v>
      </c>
      <c r="R54" s="2">
        <f t="shared" si="0"/>
        <v>1</v>
      </c>
      <c r="S54" s="4">
        <v>0</v>
      </c>
    </row>
    <row r="55" s="5" customFormat="1" spans="1:3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="5" customFormat="1" spans="1:3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="5" customFormat="1" spans="1:3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="5" customFormat="1" spans="1:3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="5" customFormat="1" spans="1:3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="5" customFormat="1" spans="1:3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="5" customFormat="1" spans="1:3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5"/>
      <c r="W61" s="5"/>
      <c r="X61" s="5"/>
      <c r="Y61" s="5"/>
      <c r="Z61" s="5"/>
      <c r="AA61" s="5"/>
      <c r="AB61" s="5"/>
      <c r="AC61" s="5"/>
      <c r="AD61" s="6"/>
      <c r="AE61" s="6"/>
    </row>
    <row r="62" s="5" customFormat="1" spans="1:3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5"/>
      <c r="W62" s="5"/>
      <c r="X62" s="5"/>
      <c r="Y62" s="5"/>
      <c r="Z62" s="5"/>
      <c r="AA62" s="5"/>
      <c r="AB62" s="5"/>
      <c r="AC62" s="5"/>
      <c r="AD62" s="6"/>
      <c r="AE62" s="6"/>
    </row>
    <row r="63" s="5" customFormat="1" spans="1:3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5"/>
      <c r="W63" s="5"/>
      <c r="X63" s="5"/>
      <c r="Y63" s="5"/>
      <c r="Z63" s="5"/>
      <c r="AA63" s="5"/>
      <c r="AB63" s="5"/>
      <c r="AC63" s="5"/>
      <c r="AD63" s="6"/>
      <c r="AE63" s="6"/>
    </row>
    <row r="64" s="5" customFormat="1" spans="1:3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5"/>
      <c r="W64" s="5"/>
      <c r="X64" s="5"/>
      <c r="Y64" s="5"/>
      <c r="Z64" s="5"/>
      <c r="AA64" s="5"/>
      <c r="AB64" s="5"/>
      <c r="AC64" s="5"/>
      <c r="AD64" s="6"/>
      <c r="AE64" s="6"/>
    </row>
    <row r="65" s="5" customFormat="1" spans="1:3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5"/>
      <c r="W65" s="5"/>
      <c r="X65" s="5"/>
      <c r="Y65" s="5"/>
      <c r="Z65" s="5"/>
      <c r="AA65" s="5"/>
      <c r="AB65" s="5"/>
      <c r="AC65" s="5"/>
      <c r="AD65" s="6"/>
      <c r="AE65" s="6"/>
    </row>
    <row r="66" s="5" customFormat="1" spans="1:3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  <c r="W66" s="5"/>
      <c r="X66" s="5"/>
      <c r="Y66" s="5"/>
      <c r="Z66" s="5"/>
      <c r="AA66" s="5"/>
      <c r="AB66" s="5"/>
      <c r="AC66" s="5"/>
      <c r="AD66" s="6"/>
      <c r="AE66" s="6"/>
    </row>
    <row r="67" s="5" customFormat="1" spans="1:3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5"/>
      <c r="W67" s="5"/>
      <c r="X67" s="5"/>
      <c r="Y67" s="5"/>
      <c r="Z67" s="5"/>
      <c r="AA67" s="5"/>
      <c r="AB67" s="5"/>
      <c r="AC67" s="5"/>
      <c r="AD67" s="6"/>
      <c r="AE67" s="6"/>
    </row>
    <row r="68" s="5" customFormat="1" spans="1:3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5"/>
      <c r="W68" s="5"/>
      <c r="X68" s="5"/>
      <c r="Y68" s="5"/>
      <c r="Z68" s="5"/>
      <c r="AA68" s="5"/>
      <c r="AB68" s="5"/>
      <c r="AC68" s="5"/>
      <c r="AD68" s="6"/>
      <c r="AE68" s="6"/>
    </row>
    <row r="69" s="5" customFormat="1" spans="1:3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"/>
      <c r="W69" s="5"/>
      <c r="X69" s="5"/>
      <c r="Y69" s="5"/>
      <c r="Z69" s="5"/>
      <c r="AA69" s="5"/>
      <c r="AB69" s="5"/>
      <c r="AC69" s="5"/>
      <c r="AD69" s="6"/>
      <c r="AE69" s="6"/>
    </row>
    <row r="70" s="5" customFormat="1" spans="1:3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5"/>
      <c r="W70" s="5"/>
      <c r="X70" s="5"/>
      <c r="Y70" s="5"/>
      <c r="Z70" s="5"/>
      <c r="AA70" s="5"/>
      <c r="AB70" s="5"/>
      <c r="AC70" s="5"/>
      <c r="AD70" s="6"/>
      <c r="AE70" s="6"/>
    </row>
    <row r="71" s="5" customFormat="1" spans="1:3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5"/>
      <c r="W71" s="5"/>
      <c r="X71" s="5"/>
      <c r="Y71" s="5"/>
      <c r="Z71" s="5"/>
      <c r="AA71" s="5"/>
      <c r="AB71" s="5"/>
      <c r="AC71" s="5"/>
      <c r="AD71" s="6"/>
      <c r="AE71" s="6"/>
    </row>
    <row r="72" s="5" customFormat="1" spans="1:3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5"/>
      <c r="W72" s="5"/>
      <c r="X72" s="5"/>
      <c r="Y72" s="5"/>
      <c r="Z72" s="5"/>
      <c r="AA72" s="5"/>
      <c r="AB72" s="5"/>
      <c r="AC72" s="5"/>
      <c r="AD72" s="6"/>
      <c r="AE72" s="6"/>
    </row>
    <row r="73" s="5" customFormat="1" spans="1:3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5"/>
      <c r="W73" s="5"/>
      <c r="X73" s="5"/>
      <c r="Y73" s="5"/>
      <c r="Z73" s="5"/>
      <c r="AA73" s="5"/>
      <c r="AB73" s="5"/>
      <c r="AC73" s="5"/>
      <c r="AD73" s="6"/>
      <c r="AE73" s="6"/>
    </row>
    <row r="74" s="5" customFormat="1" spans="1:3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5"/>
      <c r="W74" s="5"/>
      <c r="X74" s="5"/>
      <c r="Y74" s="5"/>
      <c r="Z74" s="5"/>
      <c r="AA74" s="5"/>
      <c r="AB74" s="5"/>
      <c r="AC74" s="5"/>
      <c r="AD74" s="6"/>
      <c r="AE74" s="6"/>
    </row>
    <row r="75" s="5" customFormat="1" spans="1:3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5"/>
      <c r="W75" s="5"/>
      <c r="X75" s="5"/>
      <c r="Y75" s="5"/>
      <c r="Z75" s="5"/>
      <c r="AA75" s="5"/>
      <c r="AB75" s="5"/>
      <c r="AC75" s="5"/>
      <c r="AD75" s="6"/>
      <c r="AE75" s="6"/>
    </row>
    <row r="76" s="5" customFormat="1" spans="1:3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/>
      <c r="W76" s="5"/>
      <c r="X76" s="5"/>
      <c r="Y76" s="5"/>
      <c r="Z76" s="5"/>
      <c r="AA76" s="5"/>
      <c r="AB76" s="5"/>
      <c r="AC76" s="5"/>
      <c r="AD76" s="6"/>
      <c r="AE76" s="6"/>
    </row>
    <row r="77" s="5" customFormat="1" spans="1:3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="5" customFormat="1" spans="1:3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="5" customFormat="1" spans="1:3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="5" customFormat="1" spans="1:3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="5" customFormat="1" spans="1:3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="5" customFormat="1" spans="1:3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="5" customFormat="1" spans="1:3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="5" customFormat="1" spans="1:3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="5" customFormat="1" spans="1:3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="5" customFormat="1" spans="1:3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="5" customFormat="1" spans="1:3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="5" customFormat="1" spans="1:3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="5" customFormat="1" spans="1:3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="5" customFormat="1" spans="1:3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="5" customFormat="1" spans="1:3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="5" customFormat="1" spans="1:3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="5" customFormat="1" spans="1:3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="5" customFormat="1" spans="1:31">
      <c r="A94" s="6"/>
      <c r="B94" s="6"/>
    </row>
    <row r="95" s="5" customFormat="1" spans="1:31">
      <c r="A95" s="6"/>
      <c r="B95" s="6"/>
    </row>
    <row r="96" s="5" customFormat="1" spans="1:31">
      <c r="A96" s="6"/>
      <c r="B96" s="6"/>
    </row>
    <row r="97" s="5" customFormat="1" spans="1:2">
      <c r="A97" s="6"/>
      <c r="B97" s="6"/>
    </row>
    <row r="98" s="5" customFormat="1" spans="1:2">
      <c r="A98" s="6"/>
      <c r="B98" s="6"/>
    </row>
    <row r="99" s="5" customFormat="1" spans="1:2">
      <c r="A99" s="6"/>
      <c r="B99" s="6"/>
    </row>
    <row r="100" s="5" customFormat="1" spans="1:2">
      <c r="A100" s="6"/>
      <c r="B100" s="6"/>
    </row>
    <row r="101" s="5" customFormat="1" spans="1:2">
      <c r="A101" s="6"/>
      <c r="B101" s="6"/>
    </row>
    <row r="102" s="5" customFormat="1" spans="1:2">
      <c r="A102" s="6"/>
      <c r="B102" s="6"/>
    </row>
    <row r="103" s="5" customFormat="1" spans="1:2">
      <c r="A103" s="6"/>
      <c r="B103" s="6"/>
    </row>
  </sheetData>
  <mergeCells count="68">
    <mergeCell ref="C2:D2"/>
    <mergeCell ref="C3:D3"/>
    <mergeCell ref="C4:D4"/>
    <mergeCell ref="C5:D5"/>
    <mergeCell ref="C6:D6"/>
    <mergeCell ref="D8:E8"/>
    <mergeCell ref="H8:I8"/>
    <mergeCell ref="J8:M8"/>
    <mergeCell ref="J9:K9"/>
    <mergeCell ref="L9:O9"/>
    <mergeCell ref="J10:K10"/>
    <mergeCell ref="L10:O10"/>
    <mergeCell ref="J11:K11"/>
    <mergeCell ref="L11:O11"/>
    <mergeCell ref="J12:K12"/>
    <mergeCell ref="L12:O12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4"/>
  <sheetViews>
    <sheetView tabSelected="1" workbookViewId="0">
      <selection activeCell="F16" sqref="F16"/>
    </sheetView>
  </sheetViews>
  <sheetFormatPr defaultColWidth="8.88888888888889" defaultRowHeight="14.4" outlineLevelCol="3"/>
  <cols>
    <col min="4" max="4" width="11.4444444444444"/>
  </cols>
  <sheetData>
    <row r="2" spans="2:4">
      <c r="B2" s="1" t="s">
        <v>10</v>
      </c>
      <c r="C2" s="1" t="s">
        <v>69</v>
      </c>
      <c r="D2" s="1" t="s">
        <v>70</v>
      </c>
    </row>
    <row r="3" ht="15.6" spans="2:4">
      <c r="B3" s="2">
        <f ca="1" t="shared" ref="B3:B13" si="0">SUM(A3:XDU3)</f>
        <v>74</v>
      </c>
      <c r="C3" s="2">
        <f ca="1" t="shared" ref="C3:C13" si="1">SUM(B3:XDV3)</f>
        <v>74</v>
      </c>
      <c r="D3" s="3">
        <v>46296</v>
      </c>
    </row>
    <row r="4" ht="15.6" spans="2:4">
      <c r="B4" s="2">
        <f ca="1" t="shared" si="0"/>
        <v>64</v>
      </c>
      <c r="C4" s="2">
        <f ca="1" t="shared" si="1"/>
        <v>64</v>
      </c>
      <c r="D4" s="3">
        <v>46297</v>
      </c>
    </row>
    <row r="5" ht="15.6" spans="2:4">
      <c r="B5" s="2">
        <f ca="1" t="shared" si="0"/>
        <v>58</v>
      </c>
      <c r="C5" s="2">
        <f ca="1" t="shared" si="1"/>
        <v>58</v>
      </c>
      <c r="D5" s="3">
        <v>46298</v>
      </c>
    </row>
    <row r="6" ht="15.6" spans="2:4">
      <c r="B6" s="2">
        <f ca="1" t="shared" si="0"/>
        <v>53</v>
      </c>
      <c r="C6" s="2">
        <f ca="1" t="shared" si="1"/>
        <v>53</v>
      </c>
      <c r="D6" s="3">
        <v>46299</v>
      </c>
    </row>
    <row r="7" ht="15.6" spans="2:4">
      <c r="B7" s="2">
        <f ca="1" t="shared" si="0"/>
        <v>49</v>
      </c>
      <c r="C7" s="2">
        <f ca="1" t="shared" si="1"/>
        <v>49</v>
      </c>
      <c r="D7" s="3">
        <v>46300</v>
      </c>
    </row>
    <row r="8" ht="15.6" spans="2:4">
      <c r="B8" s="2">
        <f ca="1" t="shared" si="0"/>
        <v>41</v>
      </c>
      <c r="C8" s="2">
        <f ca="1" t="shared" si="1"/>
        <v>41</v>
      </c>
      <c r="D8" s="3">
        <v>46301</v>
      </c>
    </row>
    <row r="9" ht="15.6" spans="2:4">
      <c r="B9" s="2">
        <f ca="1" t="shared" si="0"/>
        <v>37</v>
      </c>
      <c r="C9" s="2">
        <f ca="1" t="shared" si="1"/>
        <v>37</v>
      </c>
      <c r="D9" s="3">
        <v>46302</v>
      </c>
    </row>
    <row r="10" ht="15.6" spans="2:4">
      <c r="B10" s="2">
        <f ca="1" t="shared" si="0"/>
        <v>33</v>
      </c>
      <c r="C10" s="2">
        <f ca="1" t="shared" si="1"/>
        <v>33</v>
      </c>
      <c r="D10" s="3">
        <v>46303</v>
      </c>
    </row>
    <row r="11" ht="15.6" spans="2:4">
      <c r="B11" s="2">
        <f ca="1" t="shared" si="0"/>
        <v>30</v>
      </c>
      <c r="C11" s="2">
        <f ca="1" t="shared" si="1"/>
        <v>30</v>
      </c>
      <c r="D11" s="3">
        <v>46304</v>
      </c>
    </row>
    <row r="12" ht="15.6" spans="2:4">
      <c r="B12" s="2">
        <f ca="1" t="shared" si="0"/>
        <v>16</v>
      </c>
      <c r="C12" s="2">
        <f ca="1" t="shared" si="1"/>
        <v>16</v>
      </c>
      <c r="D12" s="3">
        <v>46305</v>
      </c>
    </row>
    <row r="13" ht="15.6" spans="2:4">
      <c r="B13" s="2">
        <f ca="1" t="shared" si="0"/>
        <v>1</v>
      </c>
      <c r="C13" s="2">
        <f ca="1" t="shared" si="1"/>
        <v>1</v>
      </c>
      <c r="D13" s="3">
        <v>46306</v>
      </c>
    </row>
    <row r="14" ht="15.6" spans="2:4">
      <c r="B14" s="4">
        <v>0</v>
      </c>
      <c r="C14" s="4">
        <v>0</v>
      </c>
      <c r="D14" s="3">
        <v>46307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Estimate</vt:lpstr>
      <vt:lpstr>Actual</vt:lpstr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Tín Bin</cp:lastModifiedBy>
  <dcterms:created xsi:type="dcterms:W3CDTF">2026-09-19T20:01:00Z</dcterms:created>
  <dcterms:modified xsi:type="dcterms:W3CDTF">2026-10-03T21:05:58Z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1066-12.1.0.28485</vt:lpwstr>
  </property>
  <property fmtid="{D5CDD505-2E9C-101B-9397-08002B2CF9AE}" pid="3" name="CalculationRule">
    <vt:i4>0</vt:i4>
  </property>
  <property fmtid="{D5CDD505-2E9C-101B-9397-08002B2CF9AE}" pid="4" name="ICV">
    <vt:lpwstr>E167D44F83FA493A8263E83C1B2F7BC5_13</vt:lpwstr>
  </property>
</Properties>
</file>