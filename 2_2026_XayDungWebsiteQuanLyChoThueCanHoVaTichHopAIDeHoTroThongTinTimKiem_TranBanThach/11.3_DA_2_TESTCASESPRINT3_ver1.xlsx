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 activeTab="2"/>
  </bookViews>
  <sheets>
    <sheet name="Tong quan" sheetId="1" r:id="rId1"/>
    <sheet name="Test cases" sheetId="2" r:id="rId2"/>
    <sheet name="Du lieu" sheetId="3" r:id="rId3"/>
    <sheet name="AI du lieu" sheetId="4" r:id="rId4"/>
    <sheet name="Loi" sheetId="5" r:id="rId5"/>
    <sheet name="Nhat ky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<sst xmlns="http://schemas.openxmlformats.org/spreadsheetml/2006/main" count="3272" uniqueCount="906">
  <si>
    <t>Test Cases Sprint 2</t>
  </si>
  <si>
    <t>Người thực hiện</t>
  </si>
  <si>
    <t>Hoàng Đại Hợp</t>
  </si>
  <si>
    <t>Môi trường</t>
  </si>
  <si>
    <t>Localhost</t>
  </si>
  <si>
    <t>Theo dõi lần chạy hiện tại</t>
  </si>
  <si>
    <t>Số ca</t>
  </si>
  <si>
    <t>Ưu tiên</t>
  </si>
  <si>
    <t>Ý nghĩa</t>
  </si>
  <si>
    <t>Cách sử dụng</t>
  </si>
  <si>
    <t>Tổng ca</t>
  </si>
  <si>
    <t>P1</t>
  </si>
  <si>
    <t>Quan trọng</t>
  </si>
  <si>
    <t>Chạy đầu tiên; cần 100% ca P1 trong phạm vi Pass.</t>
  </si>
  <si>
    <t>Not Run</t>
  </si>
  <si>
    <t>P2</t>
  </si>
  <si>
    <t>Thông thường</t>
  </si>
  <si>
    <t>Chạy đủ để bao phủ dữ liệu hợp lệ, lỗi và biên.</t>
  </si>
  <si>
    <t>Pass</t>
  </si>
  <si>
    <t>Ô vàng</t>
  </si>
  <si>
    <t>Hợp điền khi chạy</t>
  </si>
  <si>
    <t>Chưa chạy = Not Run. Không ghi Pass dựa trên chức năng đã làm xong.</t>
  </si>
  <si>
    <t>Fail</t>
  </si>
  <si>
    <t>Blocked</t>
  </si>
  <si>
    <t>N/A</t>
  </si>
  <si>
    <t>Hướng dẫn chạy: xem dưới bảng Du lieu.</t>
  </si>
  <si>
    <t>Trong phạm vi</t>
  </si>
  <si>
    <t>Tỷ lệ đạt trong phạm vi</t>
  </si>
  <si>
    <t>Đánh giá AI (30 mẫu)</t>
  </si>
  <si>
    <t>Giá trị</t>
  </si>
  <si>
    <t>Ca P1 trong phạm vi</t>
  </si>
  <si>
    <t>Mẫu nhãn đã duyệt</t>
  </si>
  <si>
    <t>Ca P1 đã Pass</t>
  </si>
  <si>
    <t>Ô TP/FP/FN đã nhập (cần 90)</t>
  </si>
  <si>
    <t>Precision</t>
  </si>
  <si>
    <t>Recall</t>
  </si>
  <si>
    <t>Độ bao phủ phạm vi Test Plan</t>
  </si>
  <si>
    <t>Mục tiêu theo Test Plan</t>
  </si>
  <si>
    <t>Precision ≥85%; Recall ≥75%</t>
  </si>
  <si>
    <t>F01 Tài khoản</t>
  </si>
  <si>
    <t>S2-TC001 đến S2-TC019</t>
  </si>
  <si>
    <t>F01 Hồ sơ</t>
  </si>
  <si>
    <t>S2-TC020 đến S2-TC029</t>
  </si>
  <si>
    <t>F02 Tin đăng</t>
  </si>
  <si>
    <t>S2-TC030 đến S2-TC059</t>
  </si>
  <si>
    <t>F02 Quyền tin</t>
  </si>
  <si>
    <t>S2-TC060 đến S2-TC063</t>
  </si>
  <si>
    <t>F03 Tìm kiếm/lọc</t>
  </si>
  <si>
    <t>S2-TC064 đến S2-TC088</t>
  </si>
  <si>
    <t>F04 AI/thẻ</t>
  </si>
  <si>
    <t>S2-TC089 đến S2-TC100</t>
  </si>
  <si>
    <t>F04 Lưu/tìm thẻ</t>
  </si>
  <si>
    <t>S2-TC101 đến S2-TC110</t>
  </si>
  <si>
    <t>F01–F04 Hồi quy</t>
  </si>
  <si>
    <t>S2-TC111 đến S2-TC111</t>
  </si>
  <si>
    <t>F04 Bộ đánh giá AI</t>
  </si>
  <si>
    <t>S2-TC112 đến S2-TC142</t>
  </si>
  <si>
    <t>SmartLease AI – Test Cases Sprint 2</t>
  </si>
  <si>
    <t>Hoàng Đại Hợp thực hiện. Ghi lần chạy hiện tại tại K:Q; lưu từng lần chạy vào Nhat ky.</t>
  </si>
  <si>
    <t>Mã ca</t>
  </si>
  <si>
    <t>Phạm vi</t>
  </si>
  <si>
    <t>Ca mẫu Test Plan</t>
  </si>
  <si>
    <t>Tên ca kiểm thử</t>
  </si>
  <si>
    <t>Điều kiện trước</t>
  </si>
  <si>
    <t>Dữ liệu thử</t>
  </si>
  <si>
    <t>Các bước thực hiện</t>
  </si>
  <si>
    <t>Kết quả mong đợi</t>
  </si>
  <si>
    <t>Dọn dẹp/khôi phục</t>
  </si>
  <si>
    <t>Trạng thái</t>
  </si>
  <si>
    <t>Kết quả thực tế</t>
  </si>
  <si>
    <t>Ngày chạy</t>
  </si>
  <si>
    <t>Build/commit</t>
  </si>
  <si>
    <t>Bằng chứng</t>
  </si>
  <si>
    <t>Mã lỗi</t>
  </si>
  <si>
    <t>Ghi chú/điểm cần chốt</t>
  </si>
  <si>
    <t>S2-TC001</t>
  </si>
  <si>
    <t>S2-TC01</t>
  </si>
  <si>
    <t>Đăng ký hợp lệ</t>
  </si>
  <si>
    <t>Localhost hoạt động; có email thử do nhóm kiểm soát; ghi quy tắc đăng ký ở Du lieu.</t>
  </si>
  <si>
    <t>Người dùng mới TEST_A; email thử chưa tồn tại; mật khẩu hợp lệ theo quy tắc.</t>
  </si>
  <si>
    <t>1. Mở đăng ký
2. Nhập đủ trường hợp lệ
3. Gửi
4. Hoàn tất xác minh nếu luồng yêu cầu
5. Đăng nhập</t>
  </si>
  <si>
    <t>Tạo đúng một tài khoản; xác minh đúng luồng; đăng nhập được.</t>
  </si>
  <si>
    <t>Giữ dữ liệu thử để đối chiếu; dọn sau khi lưu bằng chứng.</t>
  </si>
  <si>
    <t/>
  </si>
  <si>
    <t>S2-TC002</t>
  </si>
  <si>
    <t>Đăng nhập hợp lệ</t>
  </si>
  <si>
    <t>Tài khoản A hoạt động; mật khẩu đúng.</t>
  </si>
  <si>
    <t>1. Mở đăng nhập
2. Nhập thông tin A
3. Gửi
4. Mở hồ sơ</t>
  </si>
  <si>
    <t>Phiên thuộc đúng A; mở được hồ sơ A.</t>
  </si>
  <si>
    <t>S2-TC003</t>
  </si>
  <si>
    <t>S2-TC02</t>
  </si>
  <si>
    <t>Email đăng ký trùng</t>
  </si>
  <si>
    <t>Có A đã đăng ký; chuẩn bị các email thử; quy tắc dữ liệu đã chốt.</t>
  </si>
  <si>
    <t>Email chính xác của A.</t>
  </si>
  <si>
    <t>1. Mở đăng ký
2. Nhập email A và dữ liệu hợp lệ khác
3. Gửi</t>
  </si>
  <si>
    <t>Từ chối email trùng; không tạo tài khoản thứ hai hoặc thay tài khoản A.</t>
  </si>
  <si>
    <t>S2-TC004</t>
  </si>
  <si>
    <t>Email trống</t>
  </si>
  <si>
    <t>để trống</t>
  </si>
  <si>
    <t>1. Mở đăng ký
2. Nhập email thử và các trường khác hợp lệ
3. Gửi</t>
  </si>
  <si>
    <t>Báo bắt buộc; không tạo tài khoản.</t>
  </si>
  <si>
    <t>S2-TC005</t>
  </si>
  <si>
    <t>Email sai định dạng</t>
  </si>
  <si>
    <t>hop@</t>
  </si>
  <si>
    <t>Báo email không hợp lệ; không tạo tài khoản.</t>
  </si>
  <si>
    <t>S2-TC006</t>
  </si>
  <si>
    <t>Mật khẩu trống</t>
  </si>
  <si>
    <t>Không nhập mật khẩu.</t>
  </si>
  <si>
    <t>1. Nhập thông tin đăng ký khác hợp lệ
2. Gửi</t>
  </si>
  <si>
    <t>Báo thiếu mật khẩu; không tạo tài khoản.</t>
  </si>
  <si>
    <t>S2-TC007</t>
  </si>
  <si>
    <t>Xác nhận mật khẩu không khớp</t>
  </si>
  <si>
    <t>Hai mật khẩu khác nhau; áp dụng khi form có xác nhận.</t>
  </si>
  <si>
    <t>1. Nhập mật khẩu và xác nhận khác nhau
2. Gửi</t>
  </si>
  <si>
    <t>Báo không khớp; không tạo tài khoản.</t>
  </si>
  <si>
    <t>Nếu không có trường này, chỉ N/A khi xác nhận không thuộc thiết kế.</t>
  </si>
  <si>
    <t>S2-TC008</t>
  </si>
  <si>
    <t>Độ dài mật khẩu Lmin-1</t>
  </si>
  <si>
    <t>Mật khẩu dài Lmin-1; Lmin từ Du lieu; vẫn đáp ứng loại ký tự yêu cầu.</t>
  </si>
  <si>
    <t>1. Ghi giá trị Lmin đã duyệt
2. Tạo dữ liệu đúng độ dài
3. Đăng ký bằng email thử mới</t>
  </si>
  <si>
    <t>Từ chối vì ngắn hơn giới hạn.</t>
  </si>
  <si>
    <t>Chưa xác nhận Lmin thì Blocked.</t>
  </si>
  <si>
    <t>S2-TC009</t>
  </si>
  <si>
    <t>Độ dài mật khẩu Lmin</t>
  </si>
  <si>
    <t>Mật khẩu dài Lmin; Lmin từ Du lieu; vẫn đáp ứng loại ký tự yêu cầu.</t>
  </si>
  <si>
    <t>Chấp nhận nếu các quy tắc khác đều hợp lệ.</t>
  </si>
  <si>
    <t>S2-TC010</t>
  </si>
  <si>
    <t>Độ dài mật khẩu Lmin+1</t>
  </si>
  <si>
    <t>Mật khẩu dài Lmin+1; Lmin từ Du lieu; vẫn đáp ứng loại ký tự yêu cầu.</t>
  </si>
  <si>
    <t>Chấp nhận nếu không vượt giới hạn tối đa và các quy tắc khác đều hợp lệ.</t>
  </si>
  <si>
    <t>S2-TC011</t>
  </si>
  <si>
    <t>Đăng nhập sai mật khẩu</t>
  </si>
  <si>
    <t>A với mật khẩu sai.</t>
  </si>
  <si>
    <t>1. Mở đăng nhập
2. Nhập A và mật khẩu sai
3. Gửi
4. Thử mở hồ sơ riêng</t>
  </si>
  <si>
    <t>Không cấp phiên hợp lệ; không đọc hồ sơ riêng.</t>
  </si>
  <si>
    <t>S2-TC012</t>
  </si>
  <si>
    <t>Đăng nhập tài khoản không tồn tại</t>
  </si>
  <si>
    <t>Email thử chưa đăng ký.</t>
  </si>
  <si>
    <t>1. Nhập email không tồn tại và mật khẩu thử
2. Gửi</t>
  </si>
  <si>
    <t>Không đăng nhập; có thông báo hợp lý; không tạo tài khoản tự động.</t>
  </si>
  <si>
    <t>S2-TC013</t>
  </si>
  <si>
    <t>Đăng nhập thiếu thông tin</t>
  </si>
  <si>
    <t>Bỏ trống cả thông tin đăng nhập và mật khẩu.</t>
  </si>
  <si>
    <t>1. Mở đăng nhập
2. Bấm gửi</t>
  </si>
  <si>
    <t>Báo trường bắt buộc; không cấp phiên.</t>
  </si>
  <si>
    <t>S2-TC014</t>
  </si>
  <si>
    <t>Đăng xuất</t>
  </si>
  <si>
    <t>A có phiên đăng nhập; xác nhận chính sách phiên/logout ở Du lieu.</t>
  </si>
  <si>
    <t>Phiên A hiện tại.</t>
  </si>
  <si>
    <t>1. Bấm đăng xuất
2. Mở lại hồ sơ
3. Refresh</t>
  </si>
  <si>
    <t>Phiên phía giao diện được xóa; trang riêng yêu cầu đăng nhập.</t>
  </si>
  <si>
    <t>S2-TC015</t>
  </si>
  <si>
    <t>Không dùng dữ liệu cache sau đăng xuất</t>
  </si>
  <si>
    <t>Trang hồ sơ A đã mở.</t>
  </si>
  <si>
    <t>1. Đăng xuất
2. Bấm Back
3. Refresh
4. Mở trang riêng trong tab khác</t>
  </si>
  <si>
    <t>Không hiển thị dữ liệu riêng cho phiên khách sau khi tải lại.</t>
  </si>
  <si>
    <t>S2-TC016</t>
  </si>
  <si>
    <t>API riêng không có token</t>
  </si>
  <si>
    <t>Request API hồ sơ thật lấy từ Network.</t>
  </si>
  <si>
    <t>1. Gọi request đã bỏ thông tin xác thực
2. Đọc status/body</t>
  </si>
  <si>
    <t>Backend từ chối; không trả dữ liệu hồ sơ riêng.</t>
  </si>
  <si>
    <t>S2-TC017</t>
  </si>
  <si>
    <t>API riêng có token sai</t>
  </si>
  <si>
    <t>Chuỗi token thử không hợp lệ.</t>
  </si>
  <si>
    <t>1. Gửi request hồ sơ bằng token sai
2. Đọc response</t>
  </si>
  <si>
    <t>Backend từ chối; không lộ dữ liệu hoặc lỗi server.</t>
  </si>
  <si>
    <t>S2-TC018</t>
  </si>
  <si>
    <t>Phiên hết hạn</t>
  </si>
  <si>
    <t>Token hết hạn do Bin hỗ trợ trong môi trường thử.</t>
  </si>
  <si>
    <t>1. Dùng token hết hạn gọi API riêng
2. Mở màn hình riêng</t>
  </si>
  <si>
    <t>API từ chối; UI xử lý hết phiên và yêu cầu đăng nhập lại.</t>
  </si>
  <si>
    <t>S2-TC019</t>
  </si>
  <si>
    <t>Token cũ sau logout theo chính sách</t>
  </si>
  <si>
    <t>Token trước logout; chính sách thu hồi đã chốt.</t>
  </si>
  <si>
    <t>1. Lưu token an toàn tại máy thử
2. Logout
3. Gọi API bằng token cũ
4. Đối chiếu chính sách</t>
  </si>
  <si>
    <t>Hành vi khớp chính sách đã chốt; không kết luận token đã bị thu hồi chỉ vì UI logout.</t>
  </si>
  <si>
    <t>Xóa token thử khỏi công cụ; không đưa vào bằng chứng.</t>
  </si>
  <si>
    <t>Chưa có chính sách thu hồi thì Blocked.</t>
  </si>
  <si>
    <t>S2-TC020</t>
  </si>
  <si>
    <t>Cập nhật hồ sơ hợp lệ</t>
  </si>
  <si>
    <t>A và B hoạt động; A đăng nhập; có hồ sơ thử.</t>
  </si>
  <si>
    <t>Tên TEST_Hợp và các trường hồ sơ hợp lệ đang có.</t>
  </si>
  <si>
    <t>1. Mở hồ sơ A
2. Sửa thông tin
3. Lưu
4. Refresh</t>
  </si>
  <si>
    <t>Lưu đúng hồ sơ A; dữ liệu vẫn còn sau tải lại.</t>
  </si>
  <si>
    <t>S2-TC021</t>
  </si>
  <si>
    <t>Hồ sơ thiếu trường bắt buộc</t>
  </si>
  <si>
    <t>Bỏ trống trường hồ sơ được xác nhận bắt buộc.</t>
  </si>
  <si>
    <t>1. Mở hồ sơ
2. Xóa trường bắt buộc
3. Lưu</t>
  </si>
  <si>
    <t>Báo lỗi trường; không ghi hồ sơ thiếu dữ liệu.</t>
  </si>
  <si>
    <t>S2-TC022</t>
  </si>
  <si>
    <t>Hồ sơ email sai</t>
  </si>
  <si>
    <t>Email hop@; nếu email được phép sửa.</t>
  </si>
  <si>
    <t>1. Mở hồ sơ
2. Nhập email sai
3. Lưu</t>
  </si>
  <si>
    <t>Từ chối email sai; email cũ không thay đổi.</t>
  </si>
  <si>
    <t>Nếu email không sửa được theo thiết kế, xác nhận và ghi N/A.</t>
  </si>
  <si>
    <t>S2-TC023</t>
  </si>
  <si>
    <t>Không sửa hồ sơ người khác</t>
  </si>
  <si>
    <t>ID hồ sơ B; request sửa của A.</t>
  </si>
  <si>
    <t>1. Bằng A gửi request sửa với ID B
2. Đăng nhập B xem hồ sơ</t>
  </si>
  <si>
    <t>Backend từ chối; hồ sơ B không thay đổi.</t>
  </si>
  <si>
    <t>S2-TC024</t>
  </si>
  <si>
    <t>Đổi mật khẩu hợp lệ</t>
  </si>
  <si>
    <t>Mật khẩu hiện tại đúng; mật khẩu mới hợp lệ.</t>
  </si>
  <si>
    <t>1. Mở đổi mật khẩu
2. Nhập dữ liệu
3. Lưu
4. Đăng xuất
5. Đăng nhập bằng mật khẩu mới</t>
  </si>
  <si>
    <t>Đổi thành công; mật khẩu mới đăng nhập được.</t>
  </si>
  <si>
    <t>Cập nhật thông tin tài khoản thử an toàn.</t>
  </si>
  <si>
    <t>S2-TC025</t>
  </si>
  <si>
    <t>Mật khẩu cũ không dùng được sau đổi</t>
  </si>
  <si>
    <t>A vừa đổi mật khẩu.</t>
  </si>
  <si>
    <t>1. Logout
2. Đăng nhập bằng mật khẩu cũ</t>
  </si>
  <si>
    <t>Đăng nhập bị từ chối.</t>
  </si>
  <si>
    <t>S2-TC026</t>
  </si>
  <si>
    <t>Đổi mật khẩu với mật khẩu hiện tại sai</t>
  </si>
  <si>
    <t>Mật khẩu hiện tại sai; mới hợp lệ.</t>
  </si>
  <si>
    <t>1. Mở đổi mật khẩu
2. Nhập sai mật khẩu hiện tại
3. Gửi</t>
  </si>
  <si>
    <t>Không đổi mật khẩu; mật khẩu đúng trước đó vẫn dùng được.</t>
  </si>
  <si>
    <t>S2-TC027</t>
  </si>
  <si>
    <t>Đổi mật khẩu mới không hợp lệ</t>
  </si>
  <si>
    <t>Mật khẩu mới ngắn hơn Lmin đã chốt.</t>
  </si>
  <si>
    <t>1. Nhập mật khẩu hiện tại đúng
2. Nhập mật khẩu mới sai quy tắc
3. Gửi</t>
  </si>
  <si>
    <t>Từ chối mật khẩu mới; thông tin đăng nhập cũ không bị thay đổi.</t>
  </si>
  <si>
    <t>S2-TC028</t>
  </si>
  <si>
    <t>Cập nhật ảnh đại diện</t>
  </si>
  <si>
    <t>Ảnh thử hợp lệ theo định dạng và dung lượng.</t>
  </si>
  <si>
    <t>1. Mở hồ sơ
2. Chọn ảnh
3. Lưu
4. Refresh</t>
  </si>
  <si>
    <t>Ảnh đúng tài khoản, hiển thị sau tải lại.</t>
  </si>
  <si>
    <t>S2-TC029</t>
  </si>
  <si>
    <t>Ảnh đại diện sai định dạng</t>
  </si>
  <si>
    <t>Tệp .txt thay cho ảnh.</t>
  </si>
  <si>
    <t>1. Chọn tệp sai định dạng
2. Gửi nếu UI cho phép
3. Xem hồ sơ</t>
  </si>
  <si>
    <t>Từ chối tệp; không làm hỏng ảnh hiện tại.</t>
  </si>
  <si>
    <t>S2-TC030</t>
  </si>
  <si>
    <t>S2-TC03</t>
  </si>
  <si>
    <t>Tạo tin hợp lệ</t>
  </si>
  <si>
    <t>A đăng nhập có quyền đăng tin; dùng bộ POST_BASE và các giới hạn đã chốt.</t>
  </si>
  <si>
    <t>POST_BASE; tiêu đề TEST_S2_TinHopLe.</t>
  </si>
  <si>
    <t>1. Mở đăng tin
2. Nhập toàn bộ trường hợp lệ
3. Gửi một lần
4. Mở chi tiết và Refresh</t>
  </si>
  <si>
    <t>Một tin được lưu đúng chủ sở hữu, dữ liệu và trạng thái theo quy trình duyệt.</t>
  </si>
  <si>
    <t>S2-TC031</t>
  </si>
  <si>
    <t>Danh sách tin công khai</t>
  </si>
  <si>
    <t>P3/P5/P7 công khai; P_HIDDEN ẩn.</t>
  </si>
  <si>
    <t>1. Mở danh sách với phiên khách
2. Đối chiếu tập tin thử</t>
  </si>
  <si>
    <t>Tin công khai hiện đúng; tin ẩn không xuất hiện.</t>
  </si>
  <si>
    <t>S2-TC032</t>
  </si>
  <si>
    <t>Chi tiết tin đúng dữ liệu</t>
  </si>
  <si>
    <t>P5 có ảnh, giá, diện tích, mô tả đã biết.</t>
  </si>
  <si>
    <t>1. Mở P5 từ danh sách
2. So sánh UI với dữ liệu thử</t>
  </si>
  <si>
    <t>Tiêu đề, giá, đơn vị, diện tích, ảnh và mô tả khớp P5.</t>
  </si>
  <si>
    <t>S2-TC033</t>
  </si>
  <si>
    <t>Chi tiết ID không tồn tại</t>
  </si>
  <si>
    <t>ID đúng dạng nhưng không có.</t>
  </si>
  <si>
    <t>1. Mở URL chi tiết bằng ID thử không tồn tại</t>
  </si>
  <si>
    <t>Có trạng thái không tìm thấy; không trả nhầm tin hoặc trắng trang.</t>
  </si>
  <si>
    <t>S2-TC034</t>
  </si>
  <si>
    <t>Sửa tin của mình</t>
  </si>
  <si>
    <t>Tin TEST_ thuộc A.</t>
  </si>
  <si>
    <t>1. Mở quản lý tin
2. Sửa giá và mô tả
3. Lưu
4. Mở chi tiết và Refresh</t>
  </si>
  <si>
    <t>Các trường đã sửa được lưu đúng; chủ sở hữu không đổi.</t>
  </si>
  <si>
    <t>S2-TC035</t>
  </si>
  <si>
    <t>Hủy thao tác sửa</t>
  </si>
  <si>
    <t>Tin A; giá gốc đã ghi.</t>
  </si>
  <si>
    <t>1. Mở sửa
2. Thay giá nhưng chọn hủy/quay lại
3. Mở lại tin</t>
  </si>
  <si>
    <t>Giá gốc được giữ; không lưu nội dung chưa xác nhận.</t>
  </si>
  <si>
    <t>S2-TC036</t>
  </si>
  <si>
    <t>Ẩn tin của mình</t>
  </si>
  <si>
    <t>Tin thử A đang công khai.</t>
  </si>
  <si>
    <t>1. Ẩn tin
2. Mở danh sách/tìm kiếm bằng phiên khách
3. Mở URL trực tiếp</t>
  </si>
  <si>
    <t>Tin bị ẩn khỏi nội dung công khai; URL trực tiếp tuân thủ quyền xem đã chốt.</t>
  </si>
  <si>
    <t>S2-TC037</t>
  </si>
  <si>
    <t>Xóa tin của mình</t>
  </si>
  <si>
    <t>Tin dùng riêng cho xóa; đã ghi ID.</t>
  </si>
  <si>
    <t>1. Xóa và xác nhận
2. Refresh quản lý tin
3. Tìm bằng khách
4. Mở chi tiết</t>
  </si>
  <si>
    <t>Tin không còn sử dụng công khai; xử lý xóa mềm/cứng đúng thiết kế.</t>
  </si>
  <si>
    <t>Không tái sử dụng ID vừa xóa.</t>
  </si>
  <si>
    <t>S2-TC038</t>
  </si>
  <si>
    <t>Hủy xác nhận xóa</t>
  </si>
  <si>
    <t>Tin A cần giữ.</t>
  </si>
  <si>
    <t>1. Bấm xóa
2. Chọn hủy
3. Refresh</t>
  </si>
  <si>
    <t>Tin vẫn tồn tại và không đổi trạng thái.</t>
  </si>
  <si>
    <t>S2-TC039</t>
  </si>
  <si>
    <t>Thiếu tiêu đề</t>
  </si>
  <si>
    <t>POST_BASE nhưng bỏ tiêu đề.</t>
  </si>
  <si>
    <t>1. Mở đăng tin
2. Điền POST_BASE trừ tiêu đề
3. Gửi
4. Đối chiếu số tin</t>
  </si>
  <si>
    <t>Nếu tiêu đề bắt buộc theo cấu hình đã chốt: báo lỗi và không tạo tin thiếu dữ liệu.</t>
  </si>
  <si>
    <t>Xác nhận trường bắt buộc ở Du lieu; trường tùy chọn cần điều chỉnh mong đợi trước chạy.</t>
  </si>
  <si>
    <t>S2-TC040</t>
  </si>
  <si>
    <t>Thiếu mô tả</t>
  </si>
  <si>
    <t>POST_BASE nhưng bỏ mô tả.</t>
  </si>
  <si>
    <t>1. Mở đăng tin
2. Điền POST_BASE trừ mô tả
3. Gửi
4. Đối chiếu số tin</t>
  </si>
  <si>
    <t>Nếu mô tả bắt buộc theo cấu hình đã chốt: báo lỗi và không tạo tin thiếu dữ liệu.</t>
  </si>
  <si>
    <t>S2-TC041</t>
  </si>
  <si>
    <t>Thiếu giá</t>
  </si>
  <si>
    <t>POST_BASE nhưng bỏ giá.</t>
  </si>
  <si>
    <t>1. Mở đăng tin
2. Điền POST_BASE trừ giá
3. Gửi
4. Đối chiếu số tin</t>
  </si>
  <si>
    <t>Nếu giá bắt buộc theo cấu hình đã chốt: báo lỗi và không tạo tin thiếu dữ liệu.</t>
  </si>
  <si>
    <t>S2-TC042</t>
  </si>
  <si>
    <t>Thiếu diện tích</t>
  </si>
  <si>
    <t>POST_BASE nhưng bỏ diện tích.</t>
  </si>
  <si>
    <t>1. Mở đăng tin
2. Điền POST_BASE trừ diện tích
3. Gửi
4. Đối chiếu số tin</t>
  </si>
  <si>
    <t>Nếu diện tích bắt buộc theo cấu hình đã chốt: báo lỗi và không tạo tin thiếu dữ liệu.</t>
  </si>
  <si>
    <t>S2-TC043</t>
  </si>
  <si>
    <t>Thiếu loại căn hộ</t>
  </si>
  <si>
    <t>POST_BASE nhưng bỏ loại căn hộ.</t>
  </si>
  <si>
    <t>1. Mở đăng tin
2. Điền POST_BASE trừ loại căn hộ
3. Gửi
4. Đối chiếu số tin</t>
  </si>
  <si>
    <t>Nếu loại căn hộ bắt buộc theo cấu hình đã chốt: báo lỗi và không tạo tin thiếu dữ liệu.</t>
  </si>
  <si>
    <t>S2-TC044</t>
  </si>
  <si>
    <t>giá âm</t>
  </si>
  <si>
    <t>POST_BASE; giá = -1.</t>
  </si>
  <si>
    <t>1. Nhập giá âm
2. Gửi
3. Đọc phản hồi và dữ liệu</t>
  </si>
  <si>
    <t>Từ chối giá trị âm; không lưu tin sai.</t>
  </si>
  <si>
    <t>S2-TC045</t>
  </si>
  <si>
    <t>giá sai kiểu</t>
  </si>
  <si>
    <t>POST_BASE; giá = abc gửi qua request thử.</t>
  </si>
  <si>
    <t>1. Sao chép request tạo tin
2. Đổi giá thành abc
3. Gửi bằng tài khoản thử</t>
  </si>
  <si>
    <t>Backend từ chối sai kiểu; không tạo tin.</t>
  </si>
  <si>
    <t>S2-TC046</t>
  </si>
  <si>
    <t>giá bằng 0</t>
  </si>
  <si>
    <t>POST_BASE; giá = 0.</t>
  </si>
  <si>
    <t>1. Xác nhận quy tắc giá trị 0
2. Gửi dữ liệu 0
3. Đối chiếu UI/API</t>
  </si>
  <si>
    <t>Chấp nhận hoặc từ chối đúng quy tắc đã chốt; không tự chuyển thành số khác.</t>
  </si>
  <si>
    <t>Chưa xác nhận quy tắc 0 thì Blocked.</t>
  </si>
  <si>
    <t>S2-TC047</t>
  </si>
  <si>
    <t>diện tích âm</t>
  </si>
  <si>
    <t>POST_BASE; diện tích = -1.</t>
  </si>
  <si>
    <t>1. Nhập diện tích âm
2. Gửi
3. Đọc phản hồi và dữ liệu</t>
  </si>
  <si>
    <t>S2-TC048</t>
  </si>
  <si>
    <t>diện tích sai kiểu</t>
  </si>
  <si>
    <t>POST_BASE; diện tích = abc gửi qua request thử.</t>
  </si>
  <si>
    <t>1. Sao chép request tạo tin
2. Đổi diện tích thành abc
3. Gửi bằng tài khoản thử</t>
  </si>
  <si>
    <t>S2-TC049</t>
  </si>
  <si>
    <t>diện tích bằng 0</t>
  </si>
  <si>
    <t>POST_BASE; diện tích = 0.</t>
  </si>
  <si>
    <t>S2-TC050</t>
  </si>
  <si>
    <t>Tiêu đề dài Tmax</t>
  </si>
  <si>
    <t>Chuỗi dài Tmax ký tự; Tmax từ Du lieu.</t>
  </si>
  <si>
    <t>1. Tạo chuỗi đúng độ dài
2. Nhập tiêu đề và dữ liệu khác hợp lệ
3. Gửi</t>
  </si>
  <si>
    <t>Lưu đủ nội dung đúng giới hạn, không cắt âm thầm.</t>
  </si>
  <si>
    <t>S2-TC051</t>
  </si>
  <si>
    <t>Tiêu đề dài Tmax+1</t>
  </si>
  <si>
    <t>Chuỗi dài Tmax+1 ký tự; Tmax từ Du lieu.</t>
  </si>
  <si>
    <t>Từ chối vượt giới hạn, thông báo rõ và không lưu chuỗi bị cắt âm thầm.</t>
  </si>
  <si>
    <t>S2-TC052</t>
  </si>
  <si>
    <t>Upload nhiều ảnh hợp lệ</t>
  </si>
  <si>
    <t>Hai ảnh khác nhau trong giới hạn đã chốt.</t>
  </si>
  <si>
    <t>1. Chọn hai ảnh
2. Gửi tin
3. Mở lại chi tiết</t>
  </si>
  <si>
    <t>Lưu và hiển thị đúng ảnh; không nhầm ảnh giữa tin.</t>
  </si>
  <si>
    <t>S2-TC053</t>
  </si>
  <si>
    <t>Upload tệp không phải ảnh</t>
  </si>
  <si>
    <t>Tệp .txt; POST_BASE.</t>
  </si>
  <si>
    <t>1. Thêm tệp .txt
2. Gửi nếu UI cho phép</t>
  </si>
  <si>
    <t>Từ chối tệp không hợp lệ; không lưu ảnh hỏng.</t>
  </si>
  <si>
    <t>S2-TC054</t>
  </si>
  <si>
    <t>Dung lượng ảnh Bmax</t>
  </si>
  <si>
    <t>Ảnh kiểm soát kích thước Bmax byte; loại ảnh hợp lệ.</t>
  </si>
  <si>
    <t>1. Xác nhận giới hạn byte
2. Chọn ảnh đúng kích thước
3. Gửi tin</t>
  </si>
  <si>
    <t>Chấp nhận ảnh tại giới hạn nếu các điều kiện khác hợp lệ.</t>
  </si>
  <si>
    <t>S2-TC055</t>
  </si>
  <si>
    <t>Dung lượng ảnh Bmax+1 byte</t>
  </si>
  <si>
    <t>Ảnh kiểm soát kích thước Bmax+1 byte; loại ảnh hợp lệ.</t>
  </si>
  <si>
    <t>Từ chối ảnh vượt dung lượng; tin/ảnh không bị lưu dang dở trái thiết kế.</t>
  </si>
  <si>
    <t>S2-TC056</t>
  </si>
  <si>
    <t>Số ảnh Nmax</t>
  </si>
  <si>
    <t>Nmax ảnh hợp lệ.</t>
  </si>
  <si>
    <t>1. Xác nhận số ảnh tối đa
2. Chọn đủ số ảnh
3. Gửi tin</t>
  </si>
  <si>
    <t>Lưu đủ số ảnh tại giới hạn.</t>
  </si>
  <si>
    <t>S2-TC057</t>
  </si>
  <si>
    <t>Số ảnh Nmax+1</t>
  </si>
  <si>
    <t>Nmax+1 ảnh hợp lệ.</t>
  </si>
  <si>
    <t>Từ chối hoặc chặn thêm ảnh vượt mức, không bỏ ảnh âm thầm.</t>
  </si>
  <si>
    <t>S2-TC058</t>
  </si>
  <si>
    <t>Mất mạng khi gửi tin</t>
  </si>
  <si>
    <t>POST_BASE; DevTools Offline trước khi gửi.</t>
  </si>
  <si>
    <t>1. Nhập tin
2. Bật Offline
3. Gửi
4. Quan sát
5. Tắt Offline</t>
  </si>
  <si>
    <t>Có lỗi kết nối; không thông báo thành công sai; dữ liệu nhập được xử lý theo thiết kế.</t>
  </si>
  <si>
    <t>Tắt Offline; kiểm tra đã có tin trước khi gửi lại.</t>
  </si>
  <si>
    <t>S2-TC059</t>
  </si>
  <si>
    <t>Bấm gửi liên tiếp</t>
  </si>
  <si>
    <t>Một tiêu đề TEST_S2_DoubleSubmit duy nhất.</t>
  </si>
  <si>
    <t>1. Điền form hợp lệ
2. Bấm gửi nhanh hai lần
3. Đếm tin cùng dữ liệu và ID</t>
  </si>
  <si>
    <t>Không tạo tin trùng do cùng thao tác gửi lặp; không treo UI.</t>
  </si>
  <si>
    <t>S2-TC060</t>
  </si>
  <si>
    <t>S2-TC04</t>
  </si>
  <si>
    <t>B không được sửa tin A</t>
  </si>
  <si>
    <t>Có tin của A; B đăng nhập; request thật lấy từ Network trên môi trường thử.</t>
  </si>
  <si>
    <t>ID tin A; phiên B.</t>
  </si>
  <si>
    <t>1. B gửi request sửa với ID tin A
2. Đọc response
3. A mở lại tin</t>
  </si>
  <si>
    <t>Backend từ chối; dữ liệu và trạng thái tin A không đổi.</t>
  </si>
  <si>
    <t>S2-TC061</t>
  </si>
  <si>
    <t>B không được ẩn tin A</t>
  </si>
  <si>
    <t>1. B gửi request ẩn với ID tin A
2. Đọc response
3. A mở lại tin</t>
  </si>
  <si>
    <t>S2-TC062</t>
  </si>
  <si>
    <t>B không được xóa tin A</t>
  </si>
  <si>
    <t>1. B gửi request xóa với ID tin A
2. Đọc response
3. A mở lại tin</t>
  </si>
  <si>
    <t>S2-TC063</t>
  </si>
  <si>
    <t>Khách không tạo tin</t>
  </si>
  <si>
    <t>POST_BASE; request bỏ thông tin xác thực.</t>
  </si>
  <si>
    <t>1. Gửi request tạo tin không xác thực
2. Đếm tin thử</t>
  </si>
  <si>
    <t>Backend từ chối; không tạo tin vô chủ.</t>
  </si>
  <si>
    <t>S2-TC064</t>
  </si>
  <si>
    <t>S2-TC05</t>
  </si>
  <si>
    <t>Tìm theo từ khóa</t>
  </si>
  <si>
    <t>P3/P5/P7 được tạo theo Du lieu, công khai và có thể tìm; xác nhận bộ lọc gồm cận.</t>
  </si>
  <si>
    <t>Từ khóa riêng TEST_BanCong trong P3/P5.</t>
  </si>
  <si>
    <t>1. Mở tìm kiếm
2. Nhập từ khóa
3. Gửi
4. So sánh tập ID</t>
  </si>
  <si>
    <t>Chỉ trả các tin phù hợp quy tắc tìm từ khóa; có P3/P5 như dữ liệu chuẩn.</t>
  </si>
  <si>
    <t>S2-TC065</t>
  </si>
  <si>
    <t>Từ khóa tiếng Việt</t>
  </si>
  <si>
    <t>Tiêu đề thử Căn hộ Đà Nẵng.</t>
  </si>
  <si>
    <t>1. Tìm Đà Nẵng
2. Mở kết quả</t>
  </si>
  <si>
    <t>Tin tiếng Việt được tìm theo quy tắc đã chốt; không lỗi ký tự.</t>
  </si>
  <si>
    <t>S2-TC066</t>
  </si>
  <si>
    <t>Tìm không có kết quả</t>
  </si>
  <si>
    <t>Từ khóa TEST_KHONGTONTAI_9287.</t>
  </si>
  <si>
    <t>1. Tìm từ khóa
2. Xem màn hình</t>
  </si>
  <si>
    <t>Hiển thị không có kết quả; không giữ danh sách của lần tìm trước.</t>
  </si>
  <si>
    <t>S2-TC067</t>
  </si>
  <si>
    <t>Từ khóa rỗng</t>
  </si>
  <si>
    <t>Ô tìm kiếm trống.</t>
  </si>
  <si>
    <t>1. Xóa từ khóa
2. Gửi tìm kiếm</t>
  </si>
  <si>
    <t>Hiển thị mặc định theo thiết kế; không báo lỗi server.</t>
  </si>
  <si>
    <t>S2-TC068</t>
  </si>
  <si>
    <t>Lọc theo khu vực</t>
  </si>
  <si>
    <t>P3/P5 ở khu A; P7 ở khu B.</t>
  </si>
  <si>
    <t>1. Chọn khu A
2. Áp dụng bộ lọc</t>
  </si>
  <si>
    <t>Trả P3/P5 và các tin phù hợp khu A; không có P7.</t>
  </si>
  <si>
    <t>S2-TC069</t>
  </si>
  <si>
    <t>Lọc theo loại căn hộ</t>
  </si>
  <si>
    <t>P3/P7 loại L1; P5 loại L2.</t>
  </si>
  <si>
    <t>1. Chọn loại L1
2. Áp dụng</t>
  </si>
  <si>
    <t>Chỉ tin loại L1; trong bộ thử có P3/P7, không có P5.</t>
  </si>
  <si>
    <t>S2-TC070</t>
  </si>
  <si>
    <t>Lọc giá có hai cận</t>
  </si>
  <si>
    <t>P3=3 triệu; P5=5 triệu; P7=7 triệu.</t>
  </si>
  <si>
    <t>1. Lọc từ 3 đến 5 triệu
2. Ghi ID kết quả</t>
  </si>
  <si>
    <t>Nếu gồm cận như đã chốt: có P3/P5, không có P7.</t>
  </si>
  <si>
    <t>S2-TC071</t>
  </si>
  <si>
    <t>Biên giá dưới cận</t>
  </si>
  <si>
    <t>Tin TEST_BIEN giá 2999999 VND; lọc 3000000–5000000.</t>
  </si>
  <si>
    <t>1. Tạo tin biên công khai
2. Áp dụng lọc
3. Tìm ID tin biên</t>
  </si>
  <si>
    <t>Tin biên không xuất hiện.</t>
  </si>
  <si>
    <t>Ẩn/xóa tin biên sau ca để tránh ảnh hưởng ca khác.</t>
  </si>
  <si>
    <t>S2-TC072</t>
  </si>
  <si>
    <t>Biên giá đúng cận dưới</t>
  </si>
  <si>
    <t>Tin TEST_BIEN giá 3000000 VND; lọc 3000000–5000000.</t>
  </si>
  <si>
    <t>Tin biên xuất hiện khi quy tắc gồm cận đã xác nhận.</t>
  </si>
  <si>
    <t>S2-TC073</t>
  </si>
  <si>
    <t>Biên giá trên cận dưới</t>
  </si>
  <si>
    <t>Tin TEST_BIEN giá 3000001 VND; lọc 3000000–5000000.</t>
  </si>
  <si>
    <t>S2-TC074</t>
  </si>
  <si>
    <t>Biên giá dưới cận trên</t>
  </si>
  <si>
    <t>Tin TEST_BIEN giá 4999999 VND; lọc 3000000–5000000.</t>
  </si>
  <si>
    <t>S2-TC075</t>
  </si>
  <si>
    <t>Biên giá đúng cận trên</t>
  </si>
  <si>
    <t>Tin TEST_BIEN giá 5000000 VND; lọc 3000000–5000000.</t>
  </si>
  <si>
    <t>S2-TC076</t>
  </si>
  <si>
    <t>Biên giá trên cận</t>
  </si>
  <si>
    <t>Tin TEST_BIEN giá 5000001 VND; lọc 3000000–5000000.</t>
  </si>
  <si>
    <t>S2-TC077</t>
  </si>
  <si>
    <t>Chỉ cận giá dưới</t>
  </si>
  <si>
    <t>Cận dưới 5000000; cận trên trống.</t>
  </si>
  <si>
    <t>1. Nhập một cận dưới
2. Lọc</t>
  </si>
  <si>
    <t>Theo quy tắc đã chốt: P5/P7 khớp, P3 không khớp.</t>
  </si>
  <si>
    <t>S2-TC078</t>
  </si>
  <si>
    <t>Chỉ cận giá trên</t>
  </si>
  <si>
    <t>Cận trên 5000000; cận dưới trống.</t>
  </si>
  <si>
    <t>1. Nhập một cận trên
2. Lọc</t>
  </si>
  <si>
    <t>Theo quy tắc đã chốt: P3/P5 khớp, P7 không khớp.</t>
  </si>
  <si>
    <t>S2-TC079</t>
  </si>
  <si>
    <t>Khoảng giá đảo</t>
  </si>
  <si>
    <t>Từ 7000000 đến 3000000.</t>
  </si>
  <si>
    <t>1. Nhập cận dưới lớn hơn cận trên
2. Lọc</t>
  </si>
  <si>
    <t>Thông báo khoảng sai hoặc xử lý theo quy tắc chốt; không trả kết quả gây hiểu lầm.</t>
  </si>
  <si>
    <t>S2-TC080</t>
  </si>
  <si>
    <t>Khoảng diện tích</t>
  </si>
  <si>
    <t>P3=30; P5=50; P7=70 m².</t>
  </si>
  <si>
    <t>1. Lọc 30–50 m²
2. So sánh ID</t>
  </si>
  <si>
    <t>Theo quy tắc gồm cận đã chốt: P3/P5 khớp; P7 không khớp.</t>
  </si>
  <si>
    <t>S2-TC081</t>
  </si>
  <si>
    <t>Biên diện tích 29.9 m²</t>
  </si>
  <si>
    <t>Tin biên 29.9 m²; độ chính xác thập phân được cấu hình cho phép.</t>
  </si>
  <si>
    <t>1. Tạo tin biên công khai
2. Lọc 30–50 m²
3. Tìm ID</t>
  </si>
  <si>
    <t>Tin biên bị loại.</t>
  </si>
  <si>
    <t>Xóa/ẩn tin biên sau ca.</t>
  </si>
  <si>
    <t>S2-TC082</t>
  </si>
  <si>
    <t>Biên diện tích 30 m²</t>
  </si>
  <si>
    <t>Tin biên 30 m²; độ chính xác thập phân được cấu hình cho phép.</t>
  </si>
  <si>
    <t>Tin biên có trong kết quả.</t>
  </si>
  <si>
    <t>S2-TC083</t>
  </si>
  <si>
    <t>Biên diện tích 50 m²</t>
  </si>
  <si>
    <t>Tin biên 50 m²; độ chính xác thập phân được cấu hình cho phép.</t>
  </si>
  <si>
    <t>S2-TC084</t>
  </si>
  <si>
    <t>Biên diện tích 50.1 m²</t>
  </si>
  <si>
    <t>Tin biên 50.1 m²; độ chính xác thập phân được cấu hình cho phép.</t>
  </si>
  <si>
    <t>S2-TC085</t>
  </si>
  <si>
    <t>Khoảng diện tích đảo</t>
  </si>
  <si>
    <t>Từ 70 đến 30 m².</t>
  </si>
  <si>
    <t>1. Nhập cận diện tích đảo
2. Lọc</t>
  </si>
  <si>
    <t>Báo khoảng không hợp lệ hoặc xử lý đúng quy tắc đã duyệt.</t>
  </si>
  <si>
    <t>S2-TC086</t>
  </si>
  <si>
    <t>Lọc nhiều điều kiện</t>
  </si>
  <si>
    <t>Khu A; loại L2; giá 3–5 triệu; diện tích 30–50.</t>
  </si>
  <si>
    <t>1. Chọn đủ điều kiện
2. Lọc
3. Đối chiếu ID</t>
  </si>
  <si>
    <t>Trong bộ thử chỉ P5 thỏa tất cả; các điều kiện kết hợp đúng.</t>
  </si>
  <si>
    <t>S2-TC087</t>
  </si>
  <si>
    <t>Xóa bộ lọc</t>
  </si>
  <si>
    <t>Đang áp dụng nhiều điều kiện.</t>
  </si>
  <si>
    <t>1. Bấm xóa bộ lọc hoặc xóa từng điều kiện
2. Tìm lại</t>
  </si>
  <si>
    <t>Trở về tập mặc định theo thiết kế; điều kiện cũ không còn ngầm áp dụng.</t>
  </si>
  <si>
    <t>S2-TC088</t>
  </si>
  <si>
    <t>Không tìm được tin đã ẩn</t>
  </si>
  <si>
    <t>P_HIDDEN có từ khóa duy nhất.</t>
  </si>
  <si>
    <t>1. Khách tìm từ khóa của P_HIDDEN
2. Lọc theo thuộc tính của tin</t>
  </si>
  <si>
    <t>Tin ẩn không bị lộ trong kết quả.</t>
  </si>
  <si>
    <t>S2-TC089</t>
  </si>
  <si>
    <t>S2-TC06</t>
  </si>
  <si>
    <t>AI phân tích mô tả rõ</t>
  </si>
  <si>
    <t>AI sẵn sàng; ghi model/cấu hình; bộ nhãn được Hợp duyệt trước chạy.</t>
  </si>
  <si>
    <t>Căn hộ có ban công, sàn gỗ, 2 phòng ngủ.</t>
  </si>
  <si>
    <t>1. Tạo tin với mô tả
2. Chờ AI xử lý
3. Xem response và thẻ</t>
  </si>
  <si>
    <t>Thẻ phản ánh đúng các đặc điểm rõ ràng theo từ điển nhãn đã chốt; không thêm tiện ích không có.</t>
  </si>
  <si>
    <t>S2-TC090</t>
  </si>
  <si>
    <t>AI hiểu phủ định</t>
  </si>
  <si>
    <t>Căn hộ không có ban công.</t>
  </si>
  <si>
    <t>1. Tạo tin
2. Xem thẻ AI</t>
  </si>
  <si>
    <t>Không sinh thẻ khẳng định có ban công.</t>
  </si>
  <si>
    <t>S2-TC091</t>
  </si>
  <si>
    <t>AI không suy diễn khi thiếu thông tin</t>
  </si>
  <si>
    <t>Căn hộ cho thuê. Liên hệ xem nhà.</t>
  </si>
  <si>
    <t>1. Tạo tin
2. Xem thẻ</t>
  </si>
  <si>
    <t>Không bịa diện tích, số phòng hoặc tiện ích không được cung cấp.</t>
  </si>
  <si>
    <t>S2-TC092</t>
  </si>
  <si>
    <t>AI xử lý mâu thuẫn</t>
  </si>
  <si>
    <t>Có ban công. Căn này thực tế không có ban công.</t>
  </si>
  <si>
    <t>1. Tạo tin
2. Đối chiếu thẻ với quy tắc mâu thuẫn đã duyệt</t>
  </si>
  <si>
    <t>Không gắn khẳng định thiếu căn cứ; kết quả tuân thủ quy tắc xử lý mâu thuẫn được ghi trước chạy.</t>
  </si>
  <si>
    <t>S2-TC093</t>
  </si>
  <si>
    <t>Thẻ không trùng</t>
  </si>
  <si>
    <t>Mô tả lặp nhiều lần có ban công, ban công rộng.</t>
  </si>
  <si>
    <t>1. Tạo tin
2. Đọc mảng thẻ
3. Chuẩn hóa và đếm</t>
  </si>
  <si>
    <t>Không có nhãn trùng nghĩa theo quy tắc chuẩn hóa đã chốt.</t>
  </si>
  <si>
    <t>S2-TC094</t>
  </si>
  <si>
    <t>Giới hạn số thẻ</t>
  </si>
  <si>
    <t>Mô tả chứa nhiều đặc điểm hơn TAG_MAX đã chốt.</t>
  </si>
  <si>
    <t>1. Ghi TAG_MAX
2. Tạo tin
3. Đếm mảng thẻ sau chuẩn hóa</t>
  </si>
  <si>
    <t>Số thẻ không vượt TAG_MAX; không có thẻ rỗng hoặc trùng.</t>
  </si>
  <si>
    <t>Mức 10 trong Test Plan là đề xuất, phải xác nhận trước chạy.</t>
  </si>
  <si>
    <t>S2-TC095</t>
  </si>
  <si>
    <t>Loại thẻ rỗng</t>
  </si>
  <si>
    <t>Mock phản hồi AI có chuỗi rỗng và khoảng trắng do Bin hỗ trợ.</t>
  </si>
  <si>
    <t>1. Bật mock cho môi trường thử
2. Tạo tin
3. Đọc thẻ lưu</t>
  </si>
  <si>
    <t>Không lưu/hiển thị thẻ rỗng; các thẻ hợp lệ còn lại xử lý đúng.</t>
  </si>
  <si>
    <t>Tắt mock và khôi phục AI.</t>
  </si>
  <si>
    <t>S2-TC096</t>
  </si>
  <si>
    <t>S2-TC07</t>
  </si>
  <si>
    <t>AI lỗi 401 xác thực</t>
  </si>
  <si>
    <t>Bin có cơ chế mock lỗi an toàn ở localhost; dữ liệu tin còn lại hợp lệ.</t>
  </si>
  <si>
    <t>Mock AI trả 401 xác thực.</t>
  </si>
  <si>
    <t>1. Bật mock 401 xác thực
2. Tạo tin hợp lệ
3. Mở lại tin và xem log</t>
  </si>
  <si>
    <t>Tin vẫn lưu; không tạo thẻ giả; lỗi được ghi log theo thiết kế; UI không thông báo thành công AI sai.</t>
  </si>
  <si>
    <t>Tắt mock; khôi phục cấu hình AI.</t>
  </si>
  <si>
    <t>S2-TC097</t>
  </si>
  <si>
    <t>AI lỗi 429 hết quota</t>
  </si>
  <si>
    <t>Mock AI trả 429 hết quota.</t>
  </si>
  <si>
    <t>1. Bật mock 429 hết quota
2. Tạo tin hợp lệ
3. Mở lại tin và xem log</t>
  </si>
  <si>
    <t>S2-TC098</t>
  </si>
  <si>
    <t>AI lỗi timeout</t>
  </si>
  <si>
    <t>Mock AI trả timeout.</t>
  </si>
  <si>
    <t>1. Bật mock timeout
2. Tạo tin hợp lệ
3. Mở lại tin và xem log</t>
  </si>
  <si>
    <t>S2-TC099</t>
  </si>
  <si>
    <t>AI lỗi JSON sai cấu trúc</t>
  </si>
  <si>
    <t>Mock AI trả JSON sai cấu trúc.</t>
  </si>
  <si>
    <t>1. Bật mock JSON sai cấu trúc
2. Tạo tin hợp lệ
3. Mở lại tin và xem log</t>
  </si>
  <si>
    <t>S2-TC100</t>
  </si>
  <si>
    <t>AI phục hồi sau lỗi</t>
  </si>
  <si>
    <t>Cấu hình AI hợp lệ được khôi phục.</t>
  </si>
  <si>
    <t>1. Tắt mock lỗi
2. Tạo tin mới có đặc điểm rõ
3. Mở chi tiết</t>
  </si>
  <si>
    <t>Tin mới nhận thẻ thật từ AI; không giữ trạng thái lỗi cũ.</t>
  </si>
  <si>
    <t>S2-TC101</t>
  </si>
  <si>
    <t>S2-TC08</t>
  </si>
  <si>
    <t>Lưu quan hệ tin và thẻ</t>
  </si>
  <si>
    <t>Có tin thử A có thẻ; biết bảng/API theo bản triển khai; chỉ truy vấn đọc DB để đối chiếu.</t>
  </si>
  <si>
    <t>Tin A và B có các thẻ khác nhau.</t>
  </si>
  <si>
    <t>1. Tạo hai tin
2. Ghi ID
3. Đọc API và đối chiếu quan hệ DB</t>
  </si>
  <si>
    <t>Mỗi tin liên kết đúng thẻ; không gắn chéo giữa tin.</t>
  </si>
  <si>
    <t>S2-TC102</t>
  </si>
  <si>
    <t>API trả thẻ</t>
  </si>
  <si>
    <t>ID tin đã có thẻ.</t>
  </si>
  <si>
    <t>1. Gọi API chi tiết và danh sách có thẻ theo contract
2. Đọc trường tags</t>
  </si>
  <si>
    <t>Thẻ trả về đúng cấu trúc/mảng đã chốt và đúng tin.</t>
  </si>
  <si>
    <t>S2-TC103</t>
  </si>
  <si>
    <t>Thẻ hiển thị sau Refresh</t>
  </si>
  <si>
    <t>Tin có thẻ đã lưu.</t>
  </si>
  <si>
    <t>1. Mở chi tiết
2. Refresh
3. Mở bằng phiên khách mới</t>
  </si>
  <si>
    <t>Thẻ vẫn còn; hiển thị đúng thiết kế dưới tiêu đề nếu thiết kế đã chốt.</t>
  </si>
  <si>
    <t>S2-TC104</t>
  </si>
  <si>
    <t>Bấm thẻ mở tìm kiếm</t>
  </si>
  <si>
    <t>Tin có thẻ chuẩn có ít nhất hai tin công khai khớp.</t>
  </si>
  <si>
    <t>1. Bấm thẻ
2. Xem URL/điều kiện tìm
3. Đối chiếu ID</t>
  </si>
  <si>
    <t>Điều kiện theo thẻ đúng; kết quả chứa các tin khớp và loại tin không khớp.</t>
  </si>
  <si>
    <t>S2-TC105</t>
  </si>
  <si>
    <t>Tìm thẻ khác hoa/thường</t>
  </si>
  <si>
    <t>Thẻ có cùng ký tự nhưng hoa/thường khác nhau.</t>
  </si>
  <si>
    <t>1. Tìm bằng chữ thường
2. Tìm bằng chữ hoa
3. So sánh tập ID</t>
  </si>
  <si>
    <t>Tập kết quả giống nhau theo yêu cầu tìm thẻ không phân biệt hoa/thường.</t>
  </si>
  <si>
    <t>S2-TC106</t>
  </si>
  <si>
    <t>Thẻ tiếng Việt trong URL</t>
  </si>
  <si>
    <t>Thẻ có dấu tiếng Việt.</t>
  </si>
  <si>
    <t>1. Bấm thẻ
2. Sao chép URL
3. Mở URL ở tab mới</t>
  </si>
  <si>
    <t>Thẻ được mã hóa/giải mã đúng; tìm được tập tin tương ứng.</t>
  </si>
  <si>
    <t>S2-TC107</t>
  </si>
  <si>
    <t>Tìm thẻ không tồn tại</t>
  </si>
  <si>
    <t>TEST_TAG_KHONGCO_9287.</t>
  </si>
  <si>
    <t>1. Mở tìm theo thẻ không tồn tại</t>
  </si>
  <si>
    <t>Trạng thái không có kết quả; không lỗi server hoặc hiển thị thẻ cũ.</t>
  </si>
  <si>
    <t>S2-TC108</t>
  </si>
  <si>
    <t>Tin không có thẻ</t>
  </si>
  <si>
    <t>Tin lưu trong lúc AI lỗi.</t>
  </si>
  <si>
    <t>1. Mở danh sách và chi tiết tin
2. Quan sát vùng thẻ</t>
  </si>
  <si>
    <t>Trang vẫn dùng được; không hiện undefined/null hoặc thẻ giả.</t>
  </si>
  <si>
    <t>S2-TC109</t>
  </si>
  <si>
    <t>Tin ẩn không lộ qua thẻ</t>
  </si>
  <si>
    <t>Tin A có thẻ duy nhất, sau đó ẩn.</t>
  </si>
  <si>
    <t>1. Ẩn tin
2. Khách mở URL tìm theo thẻ
3. Mở chi tiết trực tiếp</t>
  </si>
  <si>
    <t>Tin bị loại khỏi tìm công khai; quyền truy cập chi tiết đúng trạng thái.</t>
  </si>
  <si>
    <t>S2-TC110</t>
  </si>
  <si>
    <t>Rà soát/sửa thẻ theo phạm vi</t>
  </si>
  <si>
    <t>Một tin của A; chức năng sửa thẻ nếu nằm trong phạm vi được xác nhận.</t>
  </si>
  <si>
    <t>1. Mở chức năng sửa thẻ
2. Đổi thẻ
3. Lưu
4. Refresh
5. Tìm theo thẻ mới</t>
  </si>
  <si>
    <t>Thẻ mới lưu và tìm đúng; thẻ cũ không còn liên kết nếu đã bỏ.</t>
  </si>
  <si>
    <t>Nếu yêu cầu có nhưng chưa triển khai: ghi thiếu chức năng/Blocked, không tự N/A.</t>
  </si>
  <si>
    <t>S2-TC111</t>
  </si>
  <si>
    <t>S2-TC03; S2-TC08</t>
  </si>
  <si>
    <t>Luồng đăng nhập, đăng tin, AI và tìm</t>
  </si>
  <si>
    <t>Bản tích hợp Sprint 2; bộ tài khoản và dữ liệu thử sẵn sàng.</t>
  </si>
  <si>
    <t>A; POST_BASE có ban công; thẻ chuẩn đã chốt.</t>
  </si>
  <si>
    <t>1. Đăng nhập A
2. Tạo tin
3. Đưa tin về trạng thái công khai đúng quyền
4. Xem thẻ
5. Bấm thẻ
6. Mở lại tin</t>
  </si>
  <si>
    <t>Tin, thẻ, quyền và tìm kiếm nhất quán qua toàn bộ luồng.</t>
  </si>
  <si>
    <t>S2-TC112</t>
  </si>
  <si>
    <t>AI bộ chuẩn 01</t>
  </si>
  <si>
    <t>Bộ 30 nhãn ở AI du lieu đã được Hợp duyệt; AI và cấu hình cố định; reset dữ liệu giữa các ca.</t>
  </si>
  <si>
    <t>AI-01: Căn hộ có ban công.</t>
  </si>
  <si>
    <t>1. Lấy mô tả và nhãn đã duyệt ở AI du lieu
2. Tạo tin TEST_AI tương ứng
3. Ghi thẻ thực tế
4. Đối chiếu nhãn và nhãn cấm
5. Ghi TP/FP/FN và bằng chứng</t>
  </si>
  <si>
    <t>Thẻ phù hợp nhãn đã duyệt; không có nhãn cấm. Ghi sai khác thật để tính precision/recall, không sửa nhãn theo đầu ra.</t>
  </si>
  <si>
    <t>S2-TC113</t>
  </si>
  <si>
    <t>AI bộ chuẩn 02</t>
  </si>
  <si>
    <t>AI-02: Căn hộ lát sàn gỗ.</t>
  </si>
  <si>
    <t>S2-TC114</t>
  </si>
  <si>
    <t>AI bộ chuẩn 03</t>
  </si>
  <si>
    <t>AI-03: Căn hộ có 2 phòng ngủ.</t>
  </si>
  <si>
    <t>S2-TC115</t>
  </si>
  <si>
    <t>AI bộ chuẩn 04</t>
  </si>
  <si>
    <t>AI-04: Căn hộ có điều hòa.</t>
  </si>
  <si>
    <t>S2-TC116</t>
  </si>
  <si>
    <t>AI bộ chuẩn 05</t>
  </si>
  <si>
    <t>AI-05: Căn hộ có thang máy.</t>
  </si>
  <si>
    <t>S2-TC117</t>
  </si>
  <si>
    <t>AI bộ chuẩn 06</t>
  </si>
  <si>
    <t>AI-06: Căn hộ có chỗ để xe.</t>
  </si>
  <si>
    <t>S2-TC118</t>
  </si>
  <si>
    <t>AI bộ chuẩn 07</t>
  </si>
  <si>
    <t>AI-07: Căn hộ có máy giặt.</t>
  </si>
  <si>
    <t>S2-TC119</t>
  </si>
  <si>
    <t>AI bộ chuẩn 08</t>
  </si>
  <si>
    <t>AI-08: Căn hộ có tủ lạnh.</t>
  </si>
  <si>
    <t>S2-TC120</t>
  </si>
  <si>
    <t>AI bộ chuẩn 09</t>
  </si>
  <si>
    <t>AI-09: Căn hộ có bếp riêng.</t>
  </si>
  <si>
    <t>S2-TC121</t>
  </si>
  <si>
    <t>AI bộ chuẩn 10</t>
  </si>
  <si>
    <t>AI-10: Căn hộ được phép nuôi thú cưng.</t>
  </si>
  <si>
    <t>S2-TC122</t>
  </si>
  <si>
    <t>AI bộ chuẩn 11</t>
  </si>
  <si>
    <t>AI-11: Căn hộ không có ban công.</t>
  </si>
  <si>
    <t>S2-TC123</t>
  </si>
  <si>
    <t>AI bộ chuẩn 12</t>
  </si>
  <si>
    <t>AI-12: Căn hộ không có thang máy.</t>
  </si>
  <si>
    <t>S2-TC124</t>
  </si>
  <si>
    <t>AI bộ chuẩn 13</t>
  </si>
  <si>
    <t>AI-13: Căn hộ không có điều hòa.</t>
  </si>
  <si>
    <t>S2-TC125</t>
  </si>
  <si>
    <t>AI bộ chuẩn 14</t>
  </si>
  <si>
    <t>AI-14: Căn hộ không cho nuôi thú cưng.</t>
  </si>
  <si>
    <t>S2-TC126</t>
  </si>
  <si>
    <t>AI bộ chuẩn 15</t>
  </si>
  <si>
    <t>AI-15: Không có chỗ để xe tại căn hộ.</t>
  </si>
  <si>
    <t>S2-TC127</t>
  </si>
  <si>
    <t>AI bộ chuẩn 16</t>
  </si>
  <si>
    <t>AI-16: Có ban công và sàn gỗ.</t>
  </si>
  <si>
    <t>S2-TC128</t>
  </si>
  <si>
    <t>AI bộ chuẩn 17</t>
  </si>
  <si>
    <t>AI-17: Có 2 phòng ngủ và điều hòa.</t>
  </si>
  <si>
    <t>S2-TC129</t>
  </si>
  <si>
    <t>AI bộ chuẩn 18</t>
  </si>
  <si>
    <t>AI-18: Có thang máy và chỗ để xe.</t>
  </si>
  <si>
    <t>S2-TC130</t>
  </si>
  <si>
    <t>AI bộ chuẩn 19</t>
  </si>
  <si>
    <t>AI-19: Có máy giặt và tủ lạnh.</t>
  </si>
  <si>
    <t>S2-TC131</t>
  </si>
  <si>
    <t>AI bộ chuẩn 20</t>
  </si>
  <si>
    <t>AI-20: Có bếp riêng nhưng không có ban công.</t>
  </si>
  <si>
    <t>S2-TC132</t>
  </si>
  <si>
    <t>AI bộ chuẩn 21</t>
  </si>
  <si>
    <t>AI-21: Có ban công. Ban công rộng. Ban công thoáng.</t>
  </si>
  <si>
    <t>S2-TC133</t>
  </si>
  <si>
    <t>AI bộ chuẩn 22</t>
  </si>
  <si>
    <t>AI-22: Có máy lạnh trong phòng.</t>
  </si>
  <si>
    <t>S2-TC134</t>
  </si>
  <si>
    <t>AI bộ chuẩn 23</t>
  </si>
  <si>
    <t>AI-23: Căn hộ gồm hai phòng ngủ.</t>
  </si>
  <si>
    <t>S2-TC135</t>
  </si>
  <si>
    <t>AI bộ chuẩn 24</t>
  </si>
  <si>
    <t>AI-24: BAN CÔNG RỘNG, SÀN GỖ.</t>
  </si>
  <si>
    <t>S2-TC136</t>
  </si>
  <si>
    <t>AI bộ chuẩn 25</t>
  </si>
  <si>
    <t xml:space="preserve">AI-25:   Căn hộ có ban công.  </t>
  </si>
  <si>
    <t>S2-TC137</t>
  </si>
  <si>
    <t>AI bộ chuẩn 26</t>
  </si>
  <si>
    <t>AI-26: Cho thuê căn hộ. Liên hệ xem nhà.</t>
  </si>
  <si>
    <t>S2-TC138</t>
  </si>
  <si>
    <t>AI bộ chuẩn 27</t>
  </si>
  <si>
    <t>AI-27: Có ban công nhưng không có máy giặt.</t>
  </si>
  <si>
    <t>S2-TC139</t>
  </si>
  <si>
    <t>AI bộ chuẩn 28</t>
  </si>
  <si>
    <t>AI-28: Có thang máy nhưng không có chỗ để xe.</t>
  </si>
  <si>
    <t>S2-TC140</t>
  </si>
  <si>
    <t>AI bộ chuẩn 29</t>
  </si>
  <si>
    <t>AI-29: Có 1 phòng ngủ, không phải 2 phòng ngủ.</t>
  </si>
  <si>
    <t>S2-TC141</t>
  </si>
  <si>
    <t>AI bộ chuẩn 30</t>
  </si>
  <si>
    <t>AI-30: Căn hộ có bếp riêng, tủ lạnh và máy giặt.</t>
  </si>
  <si>
    <t>S2-TC142</t>
  </si>
  <si>
    <t>AI chạy lặp ca quan trọng</t>
  </si>
  <si>
    <t>AI-01, AI-11 và AI-26; mỗi mẫu chạy thêm 2 lần với tin mới.</t>
  </si>
  <si>
    <t>1. Giữ model/cấu hình
2. Chạy từng mẫu thêm 2 lần
3. Ghi từng đầu ra vào Nhat ky
4. So sánh nhãn cấm và sai khác</t>
  </si>
  <si>
    <t>Không gắn nhãn cấm ở các lần lặp; ghi nhận biến động riêng, không gộp các lần lặp vào 30 mẫu tính chính.</t>
  </si>
  <si>
    <t>Dữ liệu và cấu hình trước khi chạy</t>
  </si>
  <si>
    <t>Mẫu TEST_ là dữ liệu đề xuất. Hợp điền cột D; ca phụ thuộc thông tin chưa chốt được ghi Blocked.</t>
  </si>
  <si>
    <t>Nhóm</t>
  </si>
  <si>
    <t>Tham số/bộ dữ liệu</t>
  </si>
  <si>
    <t>Hướng dẫn chuẩn bị</t>
  </si>
  <si>
    <t>Giá trị/ID thực tế đã xác nhận</t>
  </si>
  <si>
    <t>ENV</t>
  </si>
  <si>
    <t>Frontend URL</t>
  </si>
  <si>
    <t>Ghi URL terminal, thường http://localhost:3000.</t>
  </si>
  <si>
    <t>Backend URL</t>
  </si>
  <si>
    <t>Ghi cổng thật, thường http://localhost:4000.</t>
  </si>
  <si>
    <t>CSDL thử</t>
  </si>
  <si>
    <t>Ghi tên CSDL/bản sao; không dùng dữ liệu gốc.</t>
  </si>
  <si>
    <t>Ghi bản dùng để chạy và ngày giờ.</t>
  </si>
  <si>
    <t>Máy/trình duyệt</t>
  </si>
  <si>
    <t>Ghi Windows, CPU/RAM, Chrome/Edge và phiên bản.</t>
  </si>
  <si>
    <t>API</t>
  </si>
  <si>
    <t>Endpoint thật</t>
  </si>
  <si>
    <t>Ghi method, path và cấu trúc response từ Network/tài liệu. Không đoán URL API.</t>
  </si>
  <si>
    <t>AUTH</t>
  </si>
  <si>
    <t>A và B</t>
  </si>
  <si>
    <t>Hai tài khoản member độc lập, email do nhóm kiểm soát; không ghi mật khẩu/token vào file.</t>
  </si>
  <si>
    <t>Admin</t>
  </si>
  <si>
    <t>Tài khoản quản trị thử riêng; không khóa tài khoản quản trị duy nhất.</t>
  </si>
  <si>
    <t>Chính sách phiên</t>
  </si>
  <si>
    <t>Ghi hạn phiên, thu hồi sau logout/khóa tài khoản và điều kiện xác minh đăng ký.</t>
  </si>
  <si>
    <t>RULE</t>
  </si>
  <si>
    <t>Trường bắt buộc</t>
  </si>
  <si>
    <t>Ghi theo form/API và yêu cầu đã duyệt; không suy ra chỉ từ dấu * trên UI.</t>
  </si>
  <si>
    <t>Lmin</t>
  </si>
  <si>
    <t>Độ dài mật khẩu tối thiểu và các quy tắc ký tự. Chưa xác nhận thì ca biên Blocked.</t>
  </si>
  <si>
    <t>Tmax</t>
  </si>
  <si>
    <t>Số ký tự tiêu đề tối đa.</t>
  </si>
  <si>
    <t>Bmax/Nmax</t>
  </si>
  <si>
    <t>Dung lượng ảnh tối đa tính bằng byte; số ảnh tối đa; danh sách MIME/đuôi tệp hợp lệ.</t>
  </si>
  <si>
    <t>Giá/diện tích</t>
  </si>
  <si>
    <t>Giới hạn, quy tắc giá trị 0, số thập phân, lọc có gồm cận hay không.</t>
  </si>
  <si>
    <t>POST_BASE</t>
  </si>
  <si>
    <t>Tin hợp lệ</t>
  </si>
  <si>
    <t>TEST_Căn hộ S2; 5000000 VND/tháng; 50 m²; khu A; loại L2; mô tả có ban công; ảnh hợp lệ. Thay khu/loại bằng giá trị thật.</t>
  </si>
  <si>
    <t>SEARCH</t>
  </si>
  <si>
    <t>P3</t>
  </si>
  <si>
    <t>TEST_BanCong_P3; 3000000 VND; 30 m²; khu A; loại L1; công khai.</t>
  </si>
  <si>
    <t>P5</t>
  </si>
  <si>
    <t>TEST_BanCong_P5; 5000000 VND; 50 m²; khu A; loại L2; công khai.</t>
  </si>
  <si>
    <t>P7</t>
  </si>
  <si>
    <t>TEST_P7; 7000000 VND; 70 m²; khu B; loại L1; công khai.</t>
  </si>
  <si>
    <t>P_HIDDEN</t>
  </si>
  <si>
    <t>Tin ẩn riêng; từ khóa và thẻ riêng để kiểm tra không lộ.</t>
  </si>
  <si>
    <t>AI</t>
  </si>
  <si>
    <t>Model/cấu hình</t>
  </si>
  <si>
    <t>Ghi provider, model, prompt/version, timeout và ngày chạy; không ghi API key.</t>
  </si>
  <si>
    <t>TAG_MAX</t>
  </si>
  <si>
    <t>10 là đề xuất trong Test Plan; ghi giới hạn thực được duyệt trước ca giới hạn.</t>
  </si>
  <si>
    <t>Từ điển nhãn</t>
  </si>
  <si>
    <t>Ghi cách chuẩn hóa, ánh xạ nhãn ngữ nghĩa thành tag/slug thật; không đổi nhãn chỉ để hợp đầu ra.</t>
  </si>
  <si>
    <t>Bộ 30 mô tả đánh giá AI</t>
  </si>
  <si>
    <t>Hợp duyệt nhãn theo từ điển tag trước chạy. Nhãn ở C là đề xuất ngữ nghĩa, không phải slug bắt buộc.</t>
  </si>
  <si>
    <t>TP = thẻ đúng; FP = thẻ sinh sai; FN = nhãn chuẩn bị bỏ sót. Chỉ nhập số nguyên sau đối chiếu thẻ duy nhất.</t>
  </si>
  <si>
    <t>Không đổi nhãn chuẩn để khớp đầu ra. Mẫu phủ định vẫn ghi FP nếu AI sinh thẻ sai.</t>
  </si>
  <si>
    <t>Mã mẫu</t>
  </si>
  <si>
    <t>Mô tả đầu vào</t>
  </si>
  <si>
    <t>Nhãn ngữ nghĩa đề xuất</t>
  </si>
  <si>
    <t>Nhãn không được sinh</t>
  </si>
  <si>
    <t>Duyệt nhãn</t>
  </si>
  <si>
    <t>Thẻ thực tế</t>
  </si>
  <si>
    <t>TP</t>
  </si>
  <si>
    <t>FP</t>
  </si>
  <si>
    <t>FN</t>
  </si>
  <si>
    <t>Bằng chứng/ghi chú</t>
  </si>
  <si>
    <t>AI-01</t>
  </si>
  <si>
    <t>Căn hộ có ban công.</t>
  </si>
  <si>
    <t>ban công</t>
  </si>
  <si>
    <t>(không có nhãn cấm riêng)</t>
  </si>
  <si>
    <t>Chưa duyệt</t>
  </si>
  <si>
    <t>AI-02</t>
  </si>
  <si>
    <t>Căn hộ lát sàn gỗ.</t>
  </si>
  <si>
    <t>sàn gỗ</t>
  </si>
  <si>
    <t>AI-03</t>
  </si>
  <si>
    <t>Căn hộ có 2 phòng ngủ.</t>
  </si>
  <si>
    <t>2 phòng ngủ</t>
  </si>
  <si>
    <t>AI-04</t>
  </si>
  <si>
    <t>Căn hộ có điều hòa.</t>
  </si>
  <si>
    <t>điều hòa</t>
  </si>
  <si>
    <t>AI-05</t>
  </si>
  <si>
    <t>Căn hộ có thang máy.</t>
  </si>
  <si>
    <t>thang máy</t>
  </si>
  <si>
    <t>AI-06</t>
  </si>
  <si>
    <t>Căn hộ có chỗ để xe.</t>
  </si>
  <si>
    <t>chỗ để xe</t>
  </si>
  <si>
    <t>AI-07</t>
  </si>
  <si>
    <t>Căn hộ có máy giặt.</t>
  </si>
  <si>
    <t>máy giặt</t>
  </si>
  <si>
    <t>AI-08</t>
  </si>
  <si>
    <t>Căn hộ có tủ lạnh.</t>
  </si>
  <si>
    <t>tủ lạnh</t>
  </si>
  <si>
    <t>AI-09</t>
  </si>
  <si>
    <t>Căn hộ có bếp riêng.</t>
  </si>
  <si>
    <t>bếp riêng</t>
  </si>
  <si>
    <t>AI-10</t>
  </si>
  <si>
    <t>Căn hộ được phép nuôi thú cưng.</t>
  </si>
  <si>
    <t>cho phép thú cưng</t>
  </si>
  <si>
    <t>AI-11</t>
  </si>
  <si>
    <t>(không có nhãn đặc điểm khẳng định)</t>
  </si>
  <si>
    <t>AI-12</t>
  </si>
  <si>
    <t>Căn hộ không có thang máy.</t>
  </si>
  <si>
    <t>AI-13</t>
  </si>
  <si>
    <t>Căn hộ không có điều hòa.</t>
  </si>
  <si>
    <t>AI-14</t>
  </si>
  <si>
    <t>Căn hộ không cho nuôi thú cưng.</t>
  </si>
  <si>
    <t>AI-15</t>
  </si>
  <si>
    <t>Không có chỗ để xe tại căn hộ.</t>
  </si>
  <si>
    <t>AI-16</t>
  </si>
  <si>
    <t>Có ban công và sàn gỗ.</t>
  </si>
  <si>
    <t>ban công; sàn gỗ</t>
  </si>
  <si>
    <t>AI-17</t>
  </si>
  <si>
    <t>Có 2 phòng ngủ và điều hòa.</t>
  </si>
  <si>
    <t>2 phòng ngủ; điều hòa</t>
  </si>
  <si>
    <t>AI-18</t>
  </si>
  <si>
    <t>Có thang máy và chỗ để xe.</t>
  </si>
  <si>
    <t>thang máy; chỗ để xe</t>
  </si>
  <si>
    <t>AI-19</t>
  </si>
  <si>
    <t>Có máy giặt và tủ lạnh.</t>
  </si>
  <si>
    <t>máy giặt; tủ lạnh</t>
  </si>
  <si>
    <t>AI-20</t>
  </si>
  <si>
    <t>Có bếp riêng nhưng không có ban công.</t>
  </si>
  <si>
    <t>AI-21</t>
  </si>
  <si>
    <t>Có ban công. Ban công rộng. Ban công thoáng.</t>
  </si>
  <si>
    <t>thẻ ban công trùng</t>
  </si>
  <si>
    <t>AI-22</t>
  </si>
  <si>
    <t>Có máy lạnh trong phòng.</t>
  </si>
  <si>
    <t>AI-23</t>
  </si>
  <si>
    <t>Căn hộ gồm hai phòng ngủ.</t>
  </si>
  <si>
    <t>AI-24</t>
  </si>
  <si>
    <t>BAN CÔNG RỘNG, SÀN GỖ.</t>
  </si>
  <si>
    <t>AI-25</t>
  </si>
  <si>
    <t xml:space="preserve">  Căn hộ có ban công.  </t>
  </si>
  <si>
    <t>AI-26</t>
  </si>
  <si>
    <t>Cho thuê căn hộ. Liên hệ xem nhà.</t>
  </si>
  <si>
    <t>ban công; thang máy; điều hòa</t>
  </si>
  <si>
    <t>AI-27</t>
  </si>
  <si>
    <t>Có ban công nhưng không có máy giặt.</t>
  </si>
  <si>
    <t>AI-28</t>
  </si>
  <si>
    <t>Có thang máy nhưng không có chỗ để xe.</t>
  </si>
  <si>
    <t>AI-29</t>
  </si>
  <si>
    <t>Có 1 phòng ngủ, không phải 2 phòng ngủ.</t>
  </si>
  <si>
    <t>1 phòng ngủ</t>
  </si>
  <si>
    <t>AI-30</t>
  </si>
  <si>
    <t>Căn hộ có bếp riêng, tủ lạnh và máy giặt.</t>
  </si>
  <si>
    <t>bếp riêng; tủ lạnh; máy giặt</t>
  </si>
  <si>
    <t>Sổ lỗi Sprint 2</t>
  </si>
  <si>
    <t>Mã lỗi S2-BUG-001... Hợp kiểm thử lại và đóng lỗi; chỉ ghi lỗi quan sát được.</t>
  </si>
  <si>
    <t>Mã ca liên quan</t>
  </si>
  <si>
    <t>Tiêu đề</t>
  </si>
  <si>
    <t>Mức độ</t>
  </si>
  <si>
    <t>Bước tái hiện</t>
  </si>
  <si>
    <t>Mong đợi</t>
  </si>
  <si>
    <t>Thực tế</t>
  </si>
  <si>
    <t>Build phát hiện</t>
  </si>
  <si>
    <t>Người sửa</t>
  </si>
  <si>
    <t>Trạng thái lỗi</t>
  </si>
  <si>
    <t>Build sửa</t>
  </si>
  <si>
    <t>Ngày retest</t>
  </si>
  <si>
    <t>Kết quả retest</t>
  </si>
  <si>
    <t>Ghi chú</t>
  </si>
  <si>
    <t>Lịch sử từng lần kiểm thử</t>
  </si>
  <si>
    <t>Ghi một dòng cho mỗi lần chạy; giữ nguyên lịch sử cũ. Thêm dòng bằng Insert Table Rows khi cần.</t>
  </si>
  <si>
    <t>Lần chạy</t>
  </si>
  <si>
    <t>Người chạy</t>
  </si>
  <si>
    <t>Ngày giờ</t>
  </si>
  <si>
    <t>Dữ liệu/ID dùng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</si>
</sst>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/mm/yyyy\ hh:mm"/>
    <numFmt numFmtId="179" formatCode="0.0%"/>
  </numFmts>
  <fonts count="25">
    <font>
      <sz val="11"/>
      <name val="Carlito"/>
      <charset val="134"/>
    </font>
    <font>
      <sz val="11"/>
      <color rgb="FF1F2937"/>
      <name val="Arial"/>
      <charset val="134"/>
    </font>
    <font>
      <b/>
      <sz val="16"/>
      <color rgb="FF263E63"/>
      <name val="Arial"/>
      <charset val="134"/>
    </font>
    <font>
      <b/>
      <sz val="11"/>
      <color rgb="FFFFFFFF"/>
      <name val="Arial"/>
      <charset val="134"/>
    </font>
    <font>
      <b/>
      <sz val="14"/>
      <color rgb="FF263E63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263E63"/>
        <bgColor indexed="64"/>
      </patternFill>
    </fill>
    <fill>
      <patternFill patternType="solid">
        <fgColor rgb="FFFFF3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NumberFormat="1" applyFont="1" applyFill="1" applyBorder="1" applyAlignment="1">
      <alignment vertical="top" wrapText="1"/>
    </xf>
    <xf numFmtId="0" fontId="2" fillId="0" borderId="0" xfId="0" applyNumberFormat="1" applyFont="1" applyFill="1" applyBorder="1" applyAlignment="1">
      <alignment vertical="top"/>
    </xf>
    <xf numFmtId="0" fontId="1" fillId="0" borderId="0" xfId="0" applyNumberFormat="1" applyFont="1" applyFill="1" applyBorder="1" applyAlignment="1">
      <alignment vertical="top"/>
    </xf>
    <xf numFmtId="0" fontId="3" fillId="2" borderId="0" xfId="0" applyNumberFormat="1" applyFont="1" applyFill="1" applyBorder="1" applyAlignment="1">
      <alignment horizontal="center" vertical="center" wrapText="1"/>
    </xf>
    <xf numFmtId="0" fontId="1" fillId="3" borderId="0" xfId="0" applyNumberFormat="1" applyFont="1" applyFill="1" applyBorder="1" applyAlignment="1">
      <alignment vertical="top" wrapText="1"/>
    </xf>
    <xf numFmtId="178" fontId="1" fillId="3" borderId="0" xfId="0" applyNumberFormat="1" applyFont="1" applyFill="1" applyBorder="1" applyAlignment="1">
      <alignment vertical="top" wrapText="1"/>
    </xf>
    <xf numFmtId="0" fontId="4" fillId="0" borderId="0" xfId="0" applyNumberFormat="1" applyFont="1" applyFill="1" applyBorder="1"/>
    <xf numFmtId="0" fontId="3" fillId="2" borderId="0" xfId="0" applyNumberFormat="1" applyFont="1" applyFill="1" applyBorder="1" applyAlignment="1">
      <alignment vertical="top" wrapText="1"/>
    </xf>
    <xf numFmtId="1" fontId="1" fillId="0" borderId="0" xfId="0" applyNumberFormat="1" applyFont="1" applyFill="1" applyBorder="1" applyAlignment="1">
      <alignment vertical="top" wrapText="1"/>
    </xf>
    <xf numFmtId="179" fontId="1" fillId="0" borderId="0" xfId="0" applyNumberFormat="1" applyFont="1" applyFill="1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0">
    <dxf>
      <font>
        <b val="1"/>
        <color rgb="FFA31515"/>
      </font>
      <fill>
        <patternFill patternType="solid">
          <bgColor rgb="FFFDE8E7"/>
        </patternFill>
      </fill>
    </dxf>
    <dxf>
      <font>
        <b val="1"/>
        <color rgb="FF845600"/>
      </font>
      <fill>
        <patternFill patternType="solid">
          <bgColor rgb="FFFFF0D6"/>
        </patternFill>
      </fill>
    </dxf>
    <dxf>
      <font>
        <b val="1"/>
        <color rgb="FF245837"/>
      </font>
      <fill>
        <patternFill patternType="solid">
          <bgColor rgb="FFE8F2EC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CasesS2" displayName="CasesS2" ref="A5:Q147" totalsRowShown="0">
  <autoFilter xmlns:etc="http://www.wps.cn/officeDocument/2017/etCustomData" ref="A5:Q147" etc:filterBottomFollowUsedRange="0"/>
  <tableColumns count="17">
    <tableColumn id="1" name="Mã ca"/>
    <tableColumn id="2" name="Phạm vi"/>
    <tableColumn id="3" name="Ca mẫu Test Plan"/>
    <tableColumn id="4" name="Tên ca kiểm thử"/>
    <tableColumn id="5" name="Ưu tiên"/>
    <tableColumn id="6" name="Điều kiện trước"/>
    <tableColumn id="7" name="Dữ liệu thử"/>
    <tableColumn id="8" name="Các bước thực hiện"/>
    <tableColumn id="9" name="Kết quả mong đợi"/>
    <tableColumn id="10" name="Dọn dẹp/khôi phục"/>
    <tableColumn id="11" name="Trạng thái"/>
    <tableColumn id="12" name="Kết quả thực tế"/>
    <tableColumn id="13" name="Ngày chạy"/>
    <tableColumn id="14" name="Build/commit"/>
    <tableColumn id="15" name="Bằng chứng"/>
    <tableColumn id="16" name="Mã lỗi"/>
    <tableColumn id="17" name="Ghi chú/điểm cần chố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ataS2" displayName="DataS2" ref="A5:D27" totalsRowShown="0">
  <autoFilter xmlns:etc="http://www.wps.cn/officeDocument/2017/etCustomData" ref="A5:D27" etc:filterBottomFollowUsedRange="0"/>
  <tableColumns count="4">
    <tableColumn id="1" name="Nhóm"/>
    <tableColumn id="2" name="Tham số/bộ dữ liệu"/>
    <tableColumn id="3" name="Hướng dẫn chuẩn bị"/>
    <tableColumn id="4" name="Giá trị/ID thực tế đã xác nhậ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5" name="AiSamples" displayName="AiSamples" ref="A8:J38" totalsRowShown="0">
  <autoFilter xmlns:etc="http://www.wps.cn/officeDocument/2017/etCustomData" ref="A8:J38" etc:filterBottomFollowUsedRange="0"/>
  <tableColumns count="10">
    <tableColumn id="1" name="Mã mẫu"/>
    <tableColumn id="2" name="Mô tả đầu vào"/>
    <tableColumn id="3" name="Nhãn ngữ nghĩa đề xuất"/>
    <tableColumn id="4" name="Nhãn không được sinh"/>
    <tableColumn id="5" name="Duyệt nhãn"/>
    <tableColumn id="6" name="Thẻ thực tế"/>
    <tableColumn id="7" name="TP"/>
    <tableColumn id="8" name="FP"/>
    <tableColumn id="9" name="FN"/>
    <tableColumn id="10" name="Bằng chứng/ghi chú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3" name="BugsS2" displayName="BugsS2" ref="A5:O25" totalsRowShown="0">
  <autoFilter xmlns:etc="http://www.wps.cn/officeDocument/2017/etCustomData" ref="A5:O25" etc:filterBottomFollowUsedRange="0"/>
  <tableColumns count="15">
    <tableColumn id="1" name="Mã lỗi"/>
    <tableColumn id="2" name="Mã ca liên quan"/>
    <tableColumn id="3" name="Tiêu đề"/>
    <tableColumn id="4" name="Mức độ"/>
    <tableColumn id="5" name="Bước tái hiện"/>
    <tableColumn id="6" name="Mong đợi"/>
    <tableColumn id="7" name="Thực tế"/>
    <tableColumn id="8" name="Build phát hiện"/>
    <tableColumn id="9" name="Bằng chứng"/>
    <tableColumn id="10" name="Người sửa"/>
    <tableColumn id="11" name="Trạng thái lỗi"/>
    <tableColumn id="12" name="Build sửa"/>
    <tableColumn id="13" name="Ngày retest"/>
    <tableColumn id="14" name="Kết quả retest"/>
    <tableColumn id="15" name="Ghi chú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4" name="RunsS2" displayName="RunsS2" ref="A5:K30" totalsRowShown="0">
  <autoFilter xmlns:etc="http://www.wps.cn/officeDocument/2017/etCustomData" ref="A5:K30" etc:filterBottomFollowUsedRange="0"/>
  <tableColumns count="11">
    <tableColumn id="1" name="Lần chạy"/>
    <tableColumn id="2" name="Mã ca"/>
    <tableColumn id="3" name="Người chạy"/>
    <tableColumn id="4" name="Ngày giờ"/>
    <tableColumn id="5" name="Build/commit"/>
    <tableColumn id="6" name="Dữ liệu/ID dùng"/>
    <tableColumn id="7" name="Trạng thái"/>
    <tableColumn id="8" name="Kết quả thực tế"/>
    <tableColumn id="9" name="Bằng chứng"/>
    <tableColumn id="10" name="Mã lỗi"/>
    <tableColumn id="11" name="Ghi chú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4"/>
  <sheetViews>
    <sheetView showGridLines="0" topLeftCell="A28" workbookViewId="0">
      <selection activeCell="A1" sqref="A1"/>
    </sheetView>
  </sheetViews>
  <sheetFormatPr defaultColWidth="9" defaultRowHeight="13.8" outlineLevelCol="5"/>
  <cols>
    <col min="1" max="1" width="43" customWidth="1"/>
    <col min="2" max="2" width="24" customWidth="1"/>
    <col min="3" max="3" width="4" customWidth="1"/>
    <col min="4" max="4" width="39" customWidth="1"/>
    <col min="5" max="5" width="24" customWidth="1"/>
    <col min="6" max="6" width="61" customWidth="1"/>
  </cols>
  <sheetData>
    <row r="1" spans="1:6">
      <c r="A1" s="1"/>
      <c r="B1" s="1"/>
      <c r="C1" s="1"/>
      <c r="D1" s="1"/>
      <c r="E1" s="1"/>
      <c r="F1" s="1"/>
    </row>
    <row r="2" ht="28" customHeight="1" spans="1:6">
      <c r="A2" s="2" t="s">
        <v>0</v>
      </c>
      <c r="B2" s="1"/>
      <c r="C2" s="1"/>
      <c r="D2" s="1"/>
      <c r="E2" s="1"/>
      <c r="F2" s="1"/>
    </row>
    <row r="3" spans="1:6">
      <c r="A3" s="1"/>
      <c r="B3" s="1"/>
      <c r="C3" s="1"/>
      <c r="D3" s="1"/>
      <c r="E3" s="1"/>
      <c r="F3" s="1"/>
    </row>
    <row r="4" spans="1:6">
      <c r="A4" s="1" t="s">
        <v>1</v>
      </c>
      <c r="B4" s="1" t="s">
        <v>2</v>
      </c>
      <c r="C4" s="1"/>
      <c r="D4" s="1"/>
      <c r="E4" s="1"/>
      <c r="F4" s="1"/>
    </row>
    <row r="5" spans="1:6">
      <c r="A5" s="1" t="s">
        <v>3</v>
      </c>
      <c r="B5" s="1" t="s">
        <v>4</v>
      </c>
      <c r="C5" s="1"/>
      <c r="D5" s="1"/>
      <c r="E5" s="1"/>
      <c r="F5" s="1"/>
    </row>
    <row r="6" spans="1:6">
      <c r="A6" s="1"/>
      <c r="B6" s="1"/>
      <c r="C6" s="1"/>
      <c r="D6" s="1"/>
      <c r="E6" s="1"/>
      <c r="F6" s="1"/>
    </row>
    <row r="7" ht="30" customHeight="1" spans="1:6">
      <c r="A7" s="4" t="s">
        <v>5</v>
      </c>
      <c r="B7" s="4" t="s">
        <v>6</v>
      </c>
      <c r="C7" s="1"/>
      <c r="D7" s="8" t="s">
        <v>7</v>
      </c>
      <c r="E7" s="8" t="s">
        <v>8</v>
      </c>
      <c r="F7" s="8" t="s">
        <v>9</v>
      </c>
    </row>
    <row r="8" ht="30" customHeight="1" spans="1:6">
      <c r="A8" s="1" t="s">
        <v>10</v>
      </c>
      <c r="B8" s="9">
        <f>COUNTA('Test cases'!$A$6:$A$147)</f>
        <v>142</v>
      </c>
      <c r="C8" s="1"/>
      <c r="D8" s="1" t="s">
        <v>11</v>
      </c>
      <c r="E8" s="1" t="s">
        <v>12</v>
      </c>
      <c r="F8" s="1" t="s">
        <v>13</v>
      </c>
    </row>
    <row r="9" ht="30" customHeight="1" spans="1:6">
      <c r="A9" s="1" t="s">
        <v>14</v>
      </c>
      <c r="B9" s="9">
        <f>COUNTIFS('Test cases'!$K$6:$K$147,"Not Run")</f>
        <v>142</v>
      </c>
      <c r="C9" s="1"/>
      <c r="D9" s="1" t="s">
        <v>15</v>
      </c>
      <c r="E9" s="1" t="s">
        <v>16</v>
      </c>
      <c r="F9" s="1" t="s">
        <v>17</v>
      </c>
    </row>
    <row r="10" ht="30" customHeight="1" spans="1:6">
      <c r="A10" s="1" t="s">
        <v>18</v>
      </c>
      <c r="B10" s="9">
        <f>COUNTIFS('Test cases'!$K$6:$K$147,"Pass")</f>
        <v>0</v>
      </c>
      <c r="C10" s="1"/>
      <c r="D10" s="1" t="s">
        <v>19</v>
      </c>
      <c r="E10" s="1" t="s">
        <v>20</v>
      </c>
      <c r="F10" s="1" t="s">
        <v>21</v>
      </c>
    </row>
    <row r="11" ht="30" customHeight="1" spans="1:6">
      <c r="A11" s="1" t="s">
        <v>22</v>
      </c>
      <c r="B11" s="9">
        <f>COUNTIFS('Test cases'!$K$6:$K$147,"Fail")</f>
        <v>0</v>
      </c>
      <c r="C11" s="1"/>
      <c r="D11" s="1"/>
      <c r="E11" s="1"/>
      <c r="F11" s="1"/>
    </row>
    <row r="12" ht="30" customHeight="1" spans="1:6">
      <c r="A12" s="1" t="s">
        <v>23</v>
      </c>
      <c r="B12" s="9">
        <f>COUNTIFS('Test cases'!$K$6:$K$147,"Blocked")</f>
        <v>0</v>
      </c>
      <c r="C12" s="1"/>
      <c r="D12" s="1"/>
      <c r="E12" s="1"/>
      <c r="F12" s="1"/>
    </row>
    <row r="13" ht="30" customHeight="1" spans="1:6">
      <c r="A13" s="1" t="s">
        <v>24</v>
      </c>
      <c r="B13" s="9">
        <f>COUNTIFS('Test cases'!$K$6:$K$147,"N/A")</f>
        <v>0</v>
      </c>
      <c r="C13" s="1"/>
      <c r="D13" s="3" t="s">
        <v>25</v>
      </c>
      <c r="E13" s="1"/>
      <c r="F13" s="1"/>
    </row>
    <row r="14" ht="30" customHeight="1" spans="1:6">
      <c r="A14" s="1" t="s">
        <v>26</v>
      </c>
      <c r="B14" s="9">
        <f>B8-B13</f>
        <v>142</v>
      </c>
      <c r="C14" s="1"/>
      <c r="D14" s="1"/>
      <c r="E14" s="1"/>
      <c r="F14" s="1"/>
    </row>
    <row r="15" ht="30" customHeight="1" spans="1:6">
      <c r="A15" s="1" t="s">
        <v>27</v>
      </c>
      <c r="B15" s="10">
        <f>IF(B14=0,"Chưa xác định",B10/B14)</f>
        <v>0</v>
      </c>
      <c r="C15" s="1"/>
      <c r="D15" s="1" t="s">
        <v>28</v>
      </c>
      <c r="E15" s="1" t="s">
        <v>29</v>
      </c>
      <c r="F15" s="1"/>
    </row>
    <row r="16" ht="30" customHeight="1" spans="1:6">
      <c r="A16" s="1" t="s">
        <v>30</v>
      </c>
      <c r="B16" s="9">
        <f>COUNTIFS('Test cases'!$E$6:$E$147,"P1",'Test cases'!$K$6:$K$147,"&lt;&gt;N/A")</f>
        <v>61</v>
      </c>
      <c r="C16" s="1"/>
      <c r="D16" s="1" t="s">
        <v>31</v>
      </c>
      <c r="E16" s="1">
        <f>COUNTIFS('AI du lieu'!E9:E38,"Đã duyệt")</f>
        <v>0</v>
      </c>
      <c r="F16" s="1"/>
    </row>
    <row r="17" ht="30" customHeight="1" spans="1:6">
      <c r="A17" s="1" t="s">
        <v>32</v>
      </c>
      <c r="B17" s="9">
        <f>COUNTIFS('Test cases'!$E$6:$E$147,"P1",'Test cases'!$K$6:$K$147,"Pass")</f>
        <v>0</v>
      </c>
      <c r="C17" s="1"/>
      <c r="D17" s="1" t="s">
        <v>33</v>
      </c>
      <c r="E17" s="1">
        <f>COUNT('AI du lieu'!G9:I38)</f>
        <v>0</v>
      </c>
      <c r="F17" s="1"/>
    </row>
    <row r="18" spans="1:6">
      <c r="A18" s="1"/>
      <c r="B18" s="1"/>
      <c r="C18" s="1"/>
      <c r="D18" s="1" t="s">
        <v>34</v>
      </c>
      <c r="E18" s="10" t="str">
        <f>IF(OR(E16&lt;30,COUNT('AI du lieu'!G9:I38)&lt;90),"Chưa đủ dữ liệu",IF(SUM('AI du lieu'!G9:H38)=0,"Không tính được",SUM('AI du lieu'!G9:G38)/SUM('AI du lieu'!G9:H38)))</f>
        <v>Chưa đủ dữ liệu</v>
      </c>
      <c r="F18" s="1"/>
    </row>
    <row r="19" spans="1:6">
      <c r="A19" s="1"/>
      <c r="B19" s="1"/>
      <c r="C19" s="1"/>
      <c r="D19" s="1" t="s">
        <v>35</v>
      </c>
      <c r="E19" s="10" t="str">
        <f>IF(OR(E16&lt;30,COUNT('AI du lieu'!G9:I38)&lt;90),"Chưa đủ dữ liệu",IF(SUM('AI du lieu'!G9:G38,'AI du lieu'!I9:I38)=0,"Không tính được",SUM('AI du lieu'!G9:G38)/SUM('AI du lieu'!G9:G38,'AI du lieu'!I9:I38)))</f>
        <v>Chưa đủ dữ liệu</v>
      </c>
      <c r="F19" s="1"/>
    </row>
    <row r="20" ht="34" customHeight="1" spans="1:6">
      <c r="A20" s="4" t="s">
        <v>36</v>
      </c>
      <c r="B20" s="4" t="s">
        <v>6</v>
      </c>
      <c r="C20" s="1"/>
      <c r="D20" s="1" t="s">
        <v>37</v>
      </c>
      <c r="E20" s="3" t="s">
        <v>38</v>
      </c>
      <c r="F20" s="1"/>
    </row>
    <row r="21" ht="30" customHeight="1" spans="1:6">
      <c r="A21" s="1" t="s">
        <v>39</v>
      </c>
      <c r="B21" s="1">
        <v>19</v>
      </c>
      <c r="C21" s="1"/>
      <c r="D21" s="3" t="s">
        <v>40</v>
      </c>
      <c r="E21" s="1"/>
      <c r="F21" s="1"/>
    </row>
    <row r="22" ht="30" customHeight="1" spans="1:6">
      <c r="A22" s="1" t="s">
        <v>41</v>
      </c>
      <c r="B22" s="1">
        <v>10</v>
      </c>
      <c r="C22" s="1"/>
      <c r="D22" s="3" t="s">
        <v>42</v>
      </c>
      <c r="E22" s="1"/>
      <c r="F22" s="1"/>
    </row>
    <row r="23" ht="30" customHeight="1" spans="1:6">
      <c r="A23" s="1" t="s">
        <v>43</v>
      </c>
      <c r="B23" s="1">
        <v>30</v>
      </c>
      <c r="C23" s="1"/>
      <c r="D23" s="3" t="s">
        <v>44</v>
      </c>
      <c r="E23" s="1"/>
      <c r="F23" s="1"/>
    </row>
    <row r="24" ht="30" customHeight="1" spans="1:6">
      <c r="A24" s="1" t="s">
        <v>45</v>
      </c>
      <c r="B24" s="1">
        <v>4</v>
      </c>
      <c r="C24" s="1"/>
      <c r="D24" s="3" t="s">
        <v>46</v>
      </c>
      <c r="E24" s="1"/>
      <c r="F24" s="1"/>
    </row>
    <row r="25" ht="30" customHeight="1" spans="1:6">
      <c r="A25" s="1" t="s">
        <v>47</v>
      </c>
      <c r="B25" s="1">
        <v>25</v>
      </c>
      <c r="C25" s="1"/>
      <c r="D25" s="3" t="s">
        <v>48</v>
      </c>
      <c r="E25" s="1"/>
      <c r="F25" s="1"/>
    </row>
    <row r="26" ht="30" customHeight="1" spans="1:6">
      <c r="A26" s="1" t="s">
        <v>49</v>
      </c>
      <c r="B26" s="1">
        <v>12</v>
      </c>
      <c r="C26" s="1"/>
      <c r="D26" s="3" t="s">
        <v>50</v>
      </c>
      <c r="E26" s="1"/>
      <c r="F26" s="1"/>
    </row>
    <row r="27" ht="30" customHeight="1" spans="1:6">
      <c r="A27" s="1" t="s">
        <v>51</v>
      </c>
      <c r="B27" s="1">
        <v>10</v>
      </c>
      <c r="C27" s="1"/>
      <c r="D27" s="3" t="s">
        <v>52</v>
      </c>
      <c r="E27" s="1"/>
      <c r="F27" s="1"/>
    </row>
    <row r="28" ht="30" customHeight="1" spans="1:6">
      <c r="A28" s="1" t="s">
        <v>53</v>
      </c>
      <c r="B28" s="1">
        <v>1</v>
      </c>
      <c r="C28" s="1"/>
      <c r="D28" s="3" t="s">
        <v>54</v>
      </c>
      <c r="E28" s="1"/>
      <c r="F28" s="1"/>
    </row>
    <row r="29" ht="30" customHeight="1" spans="1:6">
      <c r="A29" s="1" t="s">
        <v>55</v>
      </c>
      <c r="B29" s="1">
        <v>31</v>
      </c>
      <c r="C29" s="1"/>
      <c r="D29" s="3" t="s">
        <v>56</v>
      </c>
      <c r="E29" s="1"/>
      <c r="F29" s="1"/>
    </row>
    <row r="30" ht="30" customHeight="1" spans="1:6">
      <c r="A30" s="1"/>
      <c r="B30" s="1"/>
      <c r="C30" s="1"/>
      <c r="D30" s="1"/>
      <c r="E30" s="1"/>
      <c r="F30" s="1"/>
    </row>
    <row r="31" ht="30" customHeight="1" spans="1:6">
      <c r="A31" s="1"/>
      <c r="B31" s="1"/>
      <c r="C31" s="1"/>
      <c r="D31" s="1"/>
      <c r="E31" s="1"/>
      <c r="F31" s="1"/>
    </row>
    <row r="32" ht="30" customHeight="1" spans="1:6">
      <c r="A32" s="1"/>
      <c r="B32" s="1"/>
      <c r="C32" s="1"/>
      <c r="D32" s="1"/>
      <c r="E32" s="1"/>
      <c r="F32" s="1"/>
    </row>
    <row r="33" ht="30" customHeight="1" spans="1:6">
      <c r="A33" s="1"/>
      <c r="B33" s="1"/>
      <c r="C33" s="1"/>
      <c r="D33" s="1"/>
      <c r="E33" s="1"/>
      <c r="F33" s="1"/>
    </row>
    <row r="34" ht="30" customHeight="1" spans="1:6">
      <c r="A34" s="1"/>
      <c r="B34" s="1"/>
      <c r="C34" s="1"/>
      <c r="D34" s="1"/>
      <c r="E34" s="1"/>
      <c r="F34" s="1"/>
    </row>
    <row r="35" ht="30" customHeight="1" spans="1:6">
      <c r="A35" s="1"/>
      <c r="B35" s="1"/>
      <c r="C35" s="1"/>
      <c r="D35" s="1"/>
      <c r="E35" s="1"/>
      <c r="F35" s="1"/>
    </row>
    <row r="36" ht="30" customHeight="1" spans="1:6">
      <c r="A36" s="1"/>
      <c r="B36" s="1"/>
      <c r="C36" s="1"/>
      <c r="D36" s="1"/>
      <c r="E36" s="1"/>
      <c r="F36" s="1"/>
    </row>
    <row r="37" spans="1:6">
      <c r="A37" s="1"/>
      <c r="B37" s="1"/>
      <c r="C37" s="1"/>
      <c r="D37" s="1"/>
      <c r="E37" s="1"/>
      <c r="F37" s="1"/>
    </row>
    <row r="38" ht="26" customHeight="1" spans="1:6">
      <c r="A38" s="1"/>
      <c r="B38" s="1"/>
      <c r="C38" s="1"/>
      <c r="D38" s="3"/>
      <c r="E38" s="1"/>
      <c r="F38" s="1"/>
    </row>
    <row r="39" ht="26" customHeight="1" spans="1:6">
      <c r="A39" s="1"/>
      <c r="B39" s="1"/>
      <c r="C39" s="1"/>
      <c r="D39" s="3"/>
      <c r="E39" s="1"/>
      <c r="F39" s="1"/>
    </row>
    <row r="40" ht="26" customHeight="1" spans="1:6">
      <c r="A40" s="1"/>
      <c r="B40" s="1"/>
      <c r="C40" s="1"/>
      <c r="D40" s="3"/>
      <c r="E40" s="1"/>
      <c r="F40" s="1"/>
    </row>
    <row r="41" ht="26" customHeight="1" spans="1:6">
      <c r="A41" s="1"/>
      <c r="B41" s="1"/>
      <c r="C41" s="1"/>
      <c r="D41" s="3"/>
      <c r="E41" s="1"/>
      <c r="F41" s="1"/>
    </row>
    <row r="42" ht="26" customHeight="1" spans="1:6">
      <c r="A42" s="1"/>
      <c r="B42" s="1"/>
      <c r="C42" s="1"/>
      <c r="D42" s="3"/>
      <c r="E42" s="1"/>
      <c r="F42" s="1"/>
    </row>
    <row r="43" ht="26" customHeight="1" spans="1:6">
      <c r="A43" s="1"/>
      <c r="B43" s="1"/>
      <c r="C43" s="1"/>
      <c r="D43" s="3"/>
      <c r="E43" s="1"/>
      <c r="F43" s="1"/>
    </row>
    <row r="44" ht="26" customHeight="1" spans="1:6">
      <c r="A44" s="1"/>
      <c r="B44" s="1"/>
      <c r="C44" s="1"/>
      <c r="D44" s="3"/>
      <c r="E44" s="1"/>
      <c r="F44" s="1"/>
    </row>
    <row r="45" ht="26" customHeight="1" spans="1:6">
      <c r="A45" s="1"/>
      <c r="B45" s="1"/>
      <c r="C45" s="1"/>
      <c r="D45" s="3"/>
      <c r="E45" s="1"/>
      <c r="F45" s="1"/>
    </row>
    <row r="46" ht="26" customHeight="1" spans="1:6">
      <c r="A46" s="1"/>
      <c r="B46" s="1"/>
      <c r="C46" s="1"/>
      <c r="D46" s="3"/>
      <c r="E46" s="1"/>
      <c r="F46" s="1"/>
    </row>
    <row r="47" ht="26" customHeight="1" spans="1:6">
      <c r="A47" s="1"/>
      <c r="B47" s="1"/>
      <c r="C47" s="1"/>
      <c r="D47" s="3"/>
      <c r="E47" s="1"/>
      <c r="F47" s="1"/>
    </row>
    <row r="48" ht="26" customHeight="1" spans="1:6">
      <c r="A48" s="1"/>
      <c r="B48" s="1"/>
      <c r="C48" s="1"/>
      <c r="D48" s="3"/>
      <c r="E48" s="1"/>
      <c r="F48" s="1"/>
    </row>
    <row r="49" ht="26" customHeight="1" spans="1:6">
      <c r="A49" s="1"/>
      <c r="B49" s="1"/>
      <c r="C49" s="1"/>
      <c r="D49" s="3"/>
      <c r="E49" s="1"/>
      <c r="F49" s="1"/>
    </row>
    <row r="50" ht="26" customHeight="1" spans="1:6">
      <c r="A50" s="1"/>
      <c r="B50" s="1"/>
      <c r="C50" s="1"/>
      <c r="D50" s="3"/>
      <c r="E50" s="1"/>
      <c r="F50" s="1"/>
    </row>
    <row r="51" ht="26" customHeight="1" spans="1:6">
      <c r="A51" s="1"/>
      <c r="B51" s="1"/>
      <c r="C51" s="1"/>
      <c r="D51" s="3"/>
      <c r="E51" s="1"/>
      <c r="F51" s="1"/>
    </row>
    <row r="52" spans="1:6">
      <c r="A52" s="1"/>
      <c r="B52" s="1"/>
      <c r="C52" s="1"/>
      <c r="D52" s="1"/>
      <c r="E52" s="1"/>
      <c r="F52" s="1"/>
    </row>
    <row r="53" spans="1:6">
      <c r="A53" s="1"/>
      <c r="B53" s="1"/>
      <c r="C53" s="1"/>
      <c r="D53" s="1"/>
      <c r="E53" s="1"/>
      <c r="F53" s="1"/>
    </row>
    <row r="54" spans="1:6">
      <c r="A54" s="1"/>
      <c r="B54" s="1"/>
      <c r="C54" s="1"/>
      <c r="D54" s="1"/>
      <c r="E54" s="1"/>
      <c r="F54" s="1"/>
    </row>
    <row r="55" spans="1:6">
      <c r="A55" s="1"/>
      <c r="B55" s="1"/>
      <c r="C55" s="1"/>
      <c r="D55" s="1"/>
      <c r="E55" s="1"/>
      <c r="F55" s="1"/>
    </row>
    <row r="56" spans="1:6">
      <c r="A56" s="1"/>
      <c r="B56" s="1"/>
      <c r="C56" s="1"/>
      <c r="D56" s="1"/>
      <c r="E56" s="1"/>
      <c r="F56" s="1"/>
    </row>
    <row r="57" spans="1:6">
      <c r="A57" s="1"/>
      <c r="B57" s="1"/>
      <c r="C57" s="1"/>
      <c r="D57" s="1"/>
      <c r="E57" s="1"/>
      <c r="F57" s="1"/>
    </row>
    <row r="58" spans="1:6">
      <c r="A58" s="1"/>
      <c r="B58" s="1"/>
      <c r="C58" s="1"/>
      <c r="D58" s="1"/>
      <c r="E58" s="1"/>
      <c r="F58" s="1"/>
    </row>
    <row r="59" spans="1:6">
      <c r="A59" s="1"/>
      <c r="B59" s="1"/>
      <c r="C59" s="1"/>
      <c r="D59" s="1"/>
      <c r="E59" s="1"/>
      <c r="F59" s="1"/>
    </row>
    <row r="60" spans="1:6">
      <c r="A60" s="1"/>
      <c r="B60" s="1"/>
      <c r="C60" s="1"/>
      <c r="D60" s="1"/>
      <c r="E60" s="1"/>
      <c r="F60" s="1"/>
    </row>
    <row r="61" spans="1:6">
      <c r="A61" s="1"/>
      <c r="B61" s="1"/>
      <c r="C61" s="1"/>
      <c r="D61" s="1"/>
      <c r="E61" s="1"/>
      <c r="F61" s="1"/>
    </row>
    <row r="62" spans="1:6">
      <c r="A62" s="1"/>
      <c r="B62" s="1"/>
      <c r="C62" s="1"/>
      <c r="D62" s="1"/>
      <c r="E62" s="1"/>
      <c r="F62" s="1"/>
    </row>
    <row r="63" spans="1:6">
      <c r="A63" s="1"/>
      <c r="B63" s="1"/>
      <c r="C63" s="1"/>
      <c r="D63" s="1"/>
      <c r="E63" s="1"/>
      <c r="F63" s="1"/>
    </row>
    <row r="64" spans="1:6">
      <c r="A64" s="1"/>
      <c r="B64" s="1"/>
      <c r="C64" s="1"/>
      <c r="D64" s="1"/>
      <c r="E64" s="1"/>
      <c r="F64" s="1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63E63"/>
  </sheetPr>
  <dimension ref="A1:Q147"/>
  <sheetViews>
    <sheetView showGridLines="0" workbookViewId="0">
      <pane xSplit="1" ySplit="5" topLeftCell="B6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3.8"/>
  <cols>
    <col min="1" max="1" width="17" customWidth="1"/>
    <col min="2" max="2" width="24" customWidth="1"/>
    <col min="3" max="3" width="21" customWidth="1"/>
    <col min="4" max="4" width="34" customWidth="1"/>
    <col min="5" max="5" width="10" customWidth="1"/>
    <col min="6" max="7" width="43" customWidth="1"/>
    <col min="8" max="9" width="58" customWidth="1"/>
    <col min="10" max="10" width="35" customWidth="1"/>
    <col min="11" max="11" width="14" customWidth="1"/>
    <col min="12" max="12" width="43" customWidth="1"/>
    <col min="13" max="13" width="18" customWidth="1"/>
    <col min="14" max="14" width="20" customWidth="1"/>
    <col min="15" max="15" width="30" customWidth="1"/>
    <col min="16" max="16" width="18" customWidth="1"/>
    <col min="17" max="17" width="42" customWidth="1"/>
  </cols>
  <sheetData>
    <row r="1" spans="1:17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t="28" customHeight="1" spans="1:17">
      <c r="A2" s="2" t="s">
        <v>57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>
      <c r="A3" s="3" t="s">
        <v>58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ht="34" customHeight="1" spans="1:17">
      <c r="A5" s="4" t="s">
        <v>59</v>
      </c>
      <c r="B5" s="4" t="s">
        <v>60</v>
      </c>
      <c r="C5" s="4" t="s">
        <v>61</v>
      </c>
      <c r="D5" s="4" t="s">
        <v>62</v>
      </c>
      <c r="E5" s="4" t="s">
        <v>7</v>
      </c>
      <c r="F5" s="4" t="s">
        <v>63</v>
      </c>
      <c r="G5" s="4" t="s">
        <v>64</v>
      </c>
      <c r="H5" s="4" t="s">
        <v>65</v>
      </c>
      <c r="I5" s="4" t="s">
        <v>66</v>
      </c>
      <c r="J5" s="4" t="s">
        <v>67</v>
      </c>
      <c r="K5" s="4" t="s">
        <v>68</v>
      </c>
      <c r="L5" s="4" t="s">
        <v>69</v>
      </c>
      <c r="M5" s="4" t="s">
        <v>70</v>
      </c>
      <c r="N5" s="4" t="s">
        <v>71</v>
      </c>
      <c r="O5" s="4" t="s">
        <v>72</v>
      </c>
      <c r="P5" s="4" t="s">
        <v>73</v>
      </c>
      <c r="Q5" s="4" t="s">
        <v>74</v>
      </c>
    </row>
    <row r="6" ht="87" customHeight="1" spans="1:17">
      <c r="A6" s="1" t="s">
        <v>75</v>
      </c>
      <c r="B6" s="1" t="s">
        <v>39</v>
      </c>
      <c r="C6" s="1" t="s">
        <v>76</v>
      </c>
      <c r="D6" s="1" t="s">
        <v>77</v>
      </c>
      <c r="E6" s="1" t="s">
        <v>11</v>
      </c>
      <c r="F6" s="1" t="s">
        <v>78</v>
      </c>
      <c r="G6" s="1" t="s">
        <v>79</v>
      </c>
      <c r="H6" s="1" t="s">
        <v>80</v>
      </c>
      <c r="I6" s="1" t="s">
        <v>81</v>
      </c>
      <c r="J6" s="1" t="s">
        <v>82</v>
      </c>
      <c r="K6" s="5" t="s">
        <v>14</v>
      </c>
      <c r="L6" s="5" t="s">
        <v>83</v>
      </c>
      <c r="M6" s="6"/>
      <c r="N6" s="5" t="s">
        <v>83</v>
      </c>
      <c r="O6" s="5" t="s">
        <v>83</v>
      </c>
      <c r="P6" s="5" t="s">
        <v>83</v>
      </c>
      <c r="Q6" s="5" t="s">
        <v>83</v>
      </c>
    </row>
    <row r="7" ht="72" customHeight="1" spans="1:17">
      <c r="A7" s="1" t="s">
        <v>84</v>
      </c>
      <c r="B7" s="1" t="s">
        <v>39</v>
      </c>
      <c r="C7" s="1" t="s">
        <v>76</v>
      </c>
      <c r="D7" s="1" t="s">
        <v>85</v>
      </c>
      <c r="E7" s="1" t="s">
        <v>11</v>
      </c>
      <c r="F7" s="1" t="s">
        <v>78</v>
      </c>
      <c r="G7" s="1" t="s">
        <v>86</v>
      </c>
      <c r="H7" s="1" t="s">
        <v>87</v>
      </c>
      <c r="I7" s="1" t="s">
        <v>88</v>
      </c>
      <c r="J7" s="1" t="s">
        <v>82</v>
      </c>
      <c r="K7" s="5" t="s">
        <v>14</v>
      </c>
      <c r="L7" s="5" t="s">
        <v>83</v>
      </c>
      <c r="M7" s="6"/>
      <c r="N7" s="5" t="s">
        <v>83</v>
      </c>
      <c r="O7" s="5" t="s">
        <v>83</v>
      </c>
      <c r="P7" s="5" t="s">
        <v>83</v>
      </c>
      <c r="Q7" s="5" t="s">
        <v>83</v>
      </c>
    </row>
    <row r="8" ht="57" customHeight="1" spans="1:17">
      <c r="A8" s="1" t="s">
        <v>89</v>
      </c>
      <c r="B8" s="1" t="s">
        <v>39</v>
      </c>
      <c r="C8" s="1" t="s">
        <v>90</v>
      </c>
      <c r="D8" s="1" t="s">
        <v>91</v>
      </c>
      <c r="E8" s="1" t="s">
        <v>11</v>
      </c>
      <c r="F8" s="1" t="s">
        <v>92</v>
      </c>
      <c r="G8" s="1" t="s">
        <v>93</v>
      </c>
      <c r="H8" s="1" t="s">
        <v>94</v>
      </c>
      <c r="I8" s="1" t="s">
        <v>95</v>
      </c>
      <c r="J8" s="1" t="s">
        <v>82</v>
      </c>
      <c r="K8" s="5" t="s">
        <v>14</v>
      </c>
      <c r="L8" s="5" t="s">
        <v>83</v>
      </c>
      <c r="M8" s="6"/>
      <c r="N8" s="5" t="s">
        <v>83</v>
      </c>
      <c r="O8" s="5" t="s">
        <v>83</v>
      </c>
      <c r="P8" s="5" t="s">
        <v>83</v>
      </c>
      <c r="Q8" s="5" t="s">
        <v>83</v>
      </c>
    </row>
    <row r="9" ht="57" customHeight="1" spans="1:17">
      <c r="A9" s="1" t="s">
        <v>96</v>
      </c>
      <c r="B9" s="1" t="s">
        <v>39</v>
      </c>
      <c r="C9" s="1" t="s">
        <v>90</v>
      </c>
      <c r="D9" s="1" t="s">
        <v>97</v>
      </c>
      <c r="E9" s="1" t="s">
        <v>15</v>
      </c>
      <c r="F9" s="1" t="s">
        <v>92</v>
      </c>
      <c r="G9" s="1" t="s">
        <v>98</v>
      </c>
      <c r="H9" s="1" t="s">
        <v>99</v>
      </c>
      <c r="I9" s="1" t="s">
        <v>100</v>
      </c>
      <c r="J9" s="1" t="s">
        <v>82</v>
      </c>
      <c r="K9" s="5" t="s">
        <v>14</v>
      </c>
      <c r="L9" s="5" t="s">
        <v>83</v>
      </c>
      <c r="M9" s="6"/>
      <c r="N9" s="5" t="s">
        <v>83</v>
      </c>
      <c r="O9" s="5" t="s">
        <v>83</v>
      </c>
      <c r="P9" s="5" t="s">
        <v>83</v>
      </c>
      <c r="Q9" s="5" t="s">
        <v>83</v>
      </c>
    </row>
    <row r="10" ht="57" customHeight="1" spans="1:17">
      <c r="A10" s="1" t="s">
        <v>101</v>
      </c>
      <c r="B10" s="1" t="s">
        <v>39</v>
      </c>
      <c r="C10" s="1" t="s">
        <v>90</v>
      </c>
      <c r="D10" s="1" t="s">
        <v>102</v>
      </c>
      <c r="E10" s="1" t="s">
        <v>15</v>
      </c>
      <c r="F10" s="1" t="s">
        <v>92</v>
      </c>
      <c r="G10" s="1" t="s">
        <v>103</v>
      </c>
      <c r="H10" s="1" t="s">
        <v>99</v>
      </c>
      <c r="I10" s="1" t="s">
        <v>104</v>
      </c>
      <c r="J10" s="1" t="s">
        <v>82</v>
      </c>
      <c r="K10" s="5" t="s">
        <v>14</v>
      </c>
      <c r="L10" s="5" t="s">
        <v>83</v>
      </c>
      <c r="M10" s="6"/>
      <c r="N10" s="5" t="s">
        <v>83</v>
      </c>
      <c r="O10" s="5" t="s">
        <v>83</v>
      </c>
      <c r="P10" s="5" t="s">
        <v>83</v>
      </c>
      <c r="Q10" s="5" t="s">
        <v>83</v>
      </c>
    </row>
    <row r="11" ht="42" customHeight="1" spans="1:17">
      <c r="A11" s="1" t="s">
        <v>105</v>
      </c>
      <c r="B11" s="1" t="s">
        <v>39</v>
      </c>
      <c r="C11" s="1" t="s">
        <v>90</v>
      </c>
      <c r="D11" s="1" t="s">
        <v>106</v>
      </c>
      <c r="E11" s="1" t="s">
        <v>15</v>
      </c>
      <c r="F11" s="1" t="s">
        <v>92</v>
      </c>
      <c r="G11" s="1" t="s">
        <v>107</v>
      </c>
      <c r="H11" s="1" t="s">
        <v>108</v>
      </c>
      <c r="I11" s="1" t="s">
        <v>109</v>
      </c>
      <c r="J11" s="1" t="s">
        <v>82</v>
      </c>
      <c r="K11" s="5" t="s">
        <v>14</v>
      </c>
      <c r="L11" s="5" t="s">
        <v>83</v>
      </c>
      <c r="M11" s="6"/>
      <c r="N11" s="5" t="s">
        <v>83</v>
      </c>
      <c r="O11" s="5" t="s">
        <v>83</v>
      </c>
      <c r="P11" s="5" t="s">
        <v>83</v>
      </c>
      <c r="Q11" s="5" t="s">
        <v>83</v>
      </c>
    </row>
    <row r="12" ht="42" customHeight="1" spans="1:17">
      <c r="A12" s="1" t="s">
        <v>110</v>
      </c>
      <c r="B12" s="1" t="s">
        <v>39</v>
      </c>
      <c r="C12" s="1" t="s">
        <v>90</v>
      </c>
      <c r="D12" s="1" t="s">
        <v>111</v>
      </c>
      <c r="E12" s="1" t="s">
        <v>15</v>
      </c>
      <c r="F12" s="1" t="s">
        <v>92</v>
      </c>
      <c r="G12" s="1" t="s">
        <v>112</v>
      </c>
      <c r="H12" s="1" t="s">
        <v>113</v>
      </c>
      <c r="I12" s="1" t="s">
        <v>114</v>
      </c>
      <c r="J12" s="1" t="s">
        <v>82</v>
      </c>
      <c r="K12" s="5" t="s">
        <v>14</v>
      </c>
      <c r="L12" s="5" t="s">
        <v>83</v>
      </c>
      <c r="M12" s="6"/>
      <c r="N12" s="5" t="s">
        <v>83</v>
      </c>
      <c r="O12" s="5" t="s">
        <v>83</v>
      </c>
      <c r="P12" s="5" t="s">
        <v>83</v>
      </c>
      <c r="Q12" s="5" t="s">
        <v>115</v>
      </c>
    </row>
    <row r="13" ht="57" customHeight="1" spans="1:17">
      <c r="A13" s="1" t="s">
        <v>116</v>
      </c>
      <c r="B13" s="1" t="s">
        <v>39</v>
      </c>
      <c r="C13" s="1" t="s">
        <v>90</v>
      </c>
      <c r="D13" s="1" t="s">
        <v>117</v>
      </c>
      <c r="E13" s="1" t="s">
        <v>15</v>
      </c>
      <c r="F13" s="1" t="s">
        <v>92</v>
      </c>
      <c r="G13" s="1" t="s">
        <v>118</v>
      </c>
      <c r="H13" s="1" t="s">
        <v>119</v>
      </c>
      <c r="I13" s="1" t="s">
        <v>120</v>
      </c>
      <c r="J13" s="1" t="s">
        <v>82</v>
      </c>
      <c r="K13" s="5" t="s">
        <v>14</v>
      </c>
      <c r="L13" s="5" t="s">
        <v>83</v>
      </c>
      <c r="M13" s="6"/>
      <c r="N13" s="5" t="s">
        <v>83</v>
      </c>
      <c r="O13" s="5" t="s">
        <v>83</v>
      </c>
      <c r="P13" s="5" t="s">
        <v>83</v>
      </c>
      <c r="Q13" s="5" t="s">
        <v>121</v>
      </c>
    </row>
    <row r="14" ht="57" customHeight="1" spans="1:17">
      <c r="A14" s="1" t="s">
        <v>122</v>
      </c>
      <c r="B14" s="1" t="s">
        <v>39</v>
      </c>
      <c r="C14" s="1" t="s">
        <v>90</v>
      </c>
      <c r="D14" s="1" t="s">
        <v>123</v>
      </c>
      <c r="E14" s="1" t="s">
        <v>15</v>
      </c>
      <c r="F14" s="1" t="s">
        <v>92</v>
      </c>
      <c r="G14" s="1" t="s">
        <v>124</v>
      </c>
      <c r="H14" s="1" t="s">
        <v>119</v>
      </c>
      <c r="I14" s="1" t="s">
        <v>125</v>
      </c>
      <c r="J14" s="1" t="s">
        <v>82</v>
      </c>
      <c r="K14" s="5" t="s">
        <v>14</v>
      </c>
      <c r="L14" s="5" t="s">
        <v>83</v>
      </c>
      <c r="M14" s="6"/>
      <c r="N14" s="5" t="s">
        <v>83</v>
      </c>
      <c r="O14" s="5" t="s">
        <v>83</v>
      </c>
      <c r="P14" s="5" t="s">
        <v>83</v>
      </c>
      <c r="Q14" s="5" t="s">
        <v>121</v>
      </c>
    </row>
    <row r="15" ht="57" customHeight="1" spans="1:17">
      <c r="A15" s="1" t="s">
        <v>126</v>
      </c>
      <c r="B15" s="1" t="s">
        <v>39</v>
      </c>
      <c r="C15" s="1" t="s">
        <v>90</v>
      </c>
      <c r="D15" s="1" t="s">
        <v>127</v>
      </c>
      <c r="E15" s="1" t="s">
        <v>15</v>
      </c>
      <c r="F15" s="1" t="s">
        <v>92</v>
      </c>
      <c r="G15" s="1" t="s">
        <v>128</v>
      </c>
      <c r="H15" s="1" t="s">
        <v>119</v>
      </c>
      <c r="I15" s="1" t="s">
        <v>129</v>
      </c>
      <c r="J15" s="1" t="s">
        <v>82</v>
      </c>
      <c r="K15" s="5" t="s">
        <v>14</v>
      </c>
      <c r="L15" s="5" t="s">
        <v>83</v>
      </c>
      <c r="M15" s="6"/>
      <c r="N15" s="5" t="s">
        <v>83</v>
      </c>
      <c r="O15" s="5" t="s">
        <v>83</v>
      </c>
      <c r="P15" s="5" t="s">
        <v>83</v>
      </c>
      <c r="Q15" s="5" t="s">
        <v>121</v>
      </c>
    </row>
    <row r="16" ht="72" customHeight="1" spans="1:17">
      <c r="A16" s="1" t="s">
        <v>130</v>
      </c>
      <c r="B16" s="1" t="s">
        <v>39</v>
      </c>
      <c r="C16" s="1" t="s">
        <v>90</v>
      </c>
      <c r="D16" s="1" t="s">
        <v>131</v>
      </c>
      <c r="E16" s="1" t="s">
        <v>11</v>
      </c>
      <c r="F16" s="1" t="s">
        <v>92</v>
      </c>
      <c r="G16" s="1" t="s">
        <v>132</v>
      </c>
      <c r="H16" s="1" t="s">
        <v>133</v>
      </c>
      <c r="I16" s="1" t="s">
        <v>134</v>
      </c>
      <c r="J16" s="1" t="s">
        <v>82</v>
      </c>
      <c r="K16" s="5" t="s">
        <v>14</v>
      </c>
      <c r="L16" s="5" t="s">
        <v>83</v>
      </c>
      <c r="M16" s="6"/>
      <c r="N16" s="5" t="s">
        <v>83</v>
      </c>
      <c r="O16" s="5" t="s">
        <v>83</v>
      </c>
      <c r="P16" s="5" t="s">
        <v>83</v>
      </c>
      <c r="Q16" s="5" t="s">
        <v>83</v>
      </c>
    </row>
    <row r="17" ht="42" customHeight="1" spans="1:17">
      <c r="A17" s="1" t="s">
        <v>135</v>
      </c>
      <c r="B17" s="1" t="s">
        <v>39</v>
      </c>
      <c r="C17" s="1" t="s">
        <v>90</v>
      </c>
      <c r="D17" s="1" t="s">
        <v>136</v>
      </c>
      <c r="E17" s="1" t="s">
        <v>15</v>
      </c>
      <c r="F17" s="1" t="s">
        <v>92</v>
      </c>
      <c r="G17" s="1" t="s">
        <v>137</v>
      </c>
      <c r="H17" s="1" t="s">
        <v>138</v>
      </c>
      <c r="I17" s="1" t="s">
        <v>139</v>
      </c>
      <c r="J17" s="1" t="s">
        <v>82</v>
      </c>
      <c r="K17" s="5" t="s">
        <v>14</v>
      </c>
      <c r="L17" s="5" t="s">
        <v>83</v>
      </c>
      <c r="M17" s="6"/>
      <c r="N17" s="5" t="s">
        <v>83</v>
      </c>
      <c r="O17" s="5" t="s">
        <v>83</v>
      </c>
      <c r="P17" s="5" t="s">
        <v>83</v>
      </c>
      <c r="Q17" s="5" t="s">
        <v>83</v>
      </c>
    </row>
    <row r="18" ht="42" customHeight="1" spans="1:17">
      <c r="A18" s="1" t="s">
        <v>140</v>
      </c>
      <c r="B18" s="1" t="s">
        <v>39</v>
      </c>
      <c r="C18" s="1" t="s">
        <v>90</v>
      </c>
      <c r="D18" s="1" t="s">
        <v>141</v>
      </c>
      <c r="E18" s="1" t="s">
        <v>15</v>
      </c>
      <c r="F18" s="1" t="s">
        <v>92</v>
      </c>
      <c r="G18" s="1" t="s">
        <v>142</v>
      </c>
      <c r="H18" s="1" t="s">
        <v>143</v>
      </c>
      <c r="I18" s="1" t="s">
        <v>144</v>
      </c>
      <c r="J18" s="1" t="s">
        <v>82</v>
      </c>
      <c r="K18" s="5" t="s">
        <v>14</v>
      </c>
      <c r="L18" s="5" t="s">
        <v>83</v>
      </c>
      <c r="M18" s="6"/>
      <c r="N18" s="5" t="s">
        <v>83</v>
      </c>
      <c r="O18" s="5" t="s">
        <v>83</v>
      </c>
      <c r="P18" s="5" t="s">
        <v>83</v>
      </c>
      <c r="Q18" s="5" t="s">
        <v>83</v>
      </c>
    </row>
    <row r="19" ht="57" customHeight="1" spans="1:17">
      <c r="A19" s="1" t="s">
        <v>145</v>
      </c>
      <c r="B19" s="1" t="s">
        <v>39</v>
      </c>
      <c r="C19" s="1" t="s">
        <v>76</v>
      </c>
      <c r="D19" s="1" t="s">
        <v>146</v>
      </c>
      <c r="E19" s="1" t="s">
        <v>11</v>
      </c>
      <c r="F19" s="1" t="s">
        <v>147</v>
      </c>
      <c r="G19" s="1" t="s">
        <v>148</v>
      </c>
      <c r="H19" s="1" t="s">
        <v>149</v>
      </c>
      <c r="I19" s="1" t="s">
        <v>150</v>
      </c>
      <c r="J19" s="1" t="s">
        <v>82</v>
      </c>
      <c r="K19" s="5" t="s">
        <v>14</v>
      </c>
      <c r="L19" s="5" t="s">
        <v>83</v>
      </c>
      <c r="M19" s="6"/>
      <c r="N19" s="5" t="s">
        <v>83</v>
      </c>
      <c r="O19" s="5" t="s">
        <v>83</v>
      </c>
      <c r="P19" s="5" t="s">
        <v>83</v>
      </c>
      <c r="Q19" s="5" t="s">
        <v>83</v>
      </c>
    </row>
    <row r="20" ht="72" customHeight="1" spans="1:17">
      <c r="A20" s="1" t="s">
        <v>151</v>
      </c>
      <c r="B20" s="1" t="s">
        <v>39</v>
      </c>
      <c r="C20" s="1" t="s">
        <v>76</v>
      </c>
      <c r="D20" s="1" t="s">
        <v>152</v>
      </c>
      <c r="E20" s="1" t="s">
        <v>11</v>
      </c>
      <c r="F20" s="1" t="s">
        <v>147</v>
      </c>
      <c r="G20" s="1" t="s">
        <v>153</v>
      </c>
      <c r="H20" s="1" t="s">
        <v>154</v>
      </c>
      <c r="I20" s="1" t="s">
        <v>155</v>
      </c>
      <c r="J20" s="1" t="s">
        <v>82</v>
      </c>
      <c r="K20" s="5" t="s">
        <v>14</v>
      </c>
      <c r="L20" s="5" t="s">
        <v>83</v>
      </c>
      <c r="M20" s="6"/>
      <c r="N20" s="5" t="s">
        <v>83</v>
      </c>
      <c r="O20" s="5" t="s">
        <v>83</v>
      </c>
      <c r="P20" s="5" t="s">
        <v>83</v>
      </c>
      <c r="Q20" s="5" t="s">
        <v>83</v>
      </c>
    </row>
    <row r="21" ht="42" customHeight="1" spans="1:17">
      <c r="A21" s="1" t="s">
        <v>156</v>
      </c>
      <c r="B21" s="1" t="s">
        <v>39</v>
      </c>
      <c r="C21" s="1" t="s">
        <v>76</v>
      </c>
      <c r="D21" s="1" t="s">
        <v>157</v>
      </c>
      <c r="E21" s="1" t="s">
        <v>11</v>
      </c>
      <c r="F21" s="1" t="s">
        <v>147</v>
      </c>
      <c r="G21" s="1" t="s">
        <v>158</v>
      </c>
      <c r="H21" s="1" t="s">
        <v>159</v>
      </c>
      <c r="I21" s="1" t="s">
        <v>160</v>
      </c>
      <c r="J21" s="1" t="s">
        <v>82</v>
      </c>
      <c r="K21" s="5" t="s">
        <v>14</v>
      </c>
      <c r="L21" s="5" t="s">
        <v>83</v>
      </c>
      <c r="M21" s="6"/>
      <c r="N21" s="5" t="s">
        <v>83</v>
      </c>
      <c r="O21" s="5" t="s">
        <v>83</v>
      </c>
      <c r="P21" s="5" t="s">
        <v>83</v>
      </c>
      <c r="Q21" s="5" t="s">
        <v>83</v>
      </c>
    </row>
    <row r="22" ht="42" customHeight="1" spans="1:17">
      <c r="A22" s="1" t="s">
        <v>161</v>
      </c>
      <c r="B22" s="1" t="s">
        <v>39</v>
      </c>
      <c r="C22" s="1" t="s">
        <v>76</v>
      </c>
      <c r="D22" s="1" t="s">
        <v>162</v>
      </c>
      <c r="E22" s="1" t="s">
        <v>11</v>
      </c>
      <c r="F22" s="1" t="s">
        <v>147</v>
      </c>
      <c r="G22" s="1" t="s">
        <v>163</v>
      </c>
      <c r="H22" s="1" t="s">
        <v>164</v>
      </c>
      <c r="I22" s="1" t="s">
        <v>165</v>
      </c>
      <c r="J22" s="1" t="s">
        <v>82</v>
      </c>
      <c r="K22" s="5" t="s">
        <v>14</v>
      </c>
      <c r="L22" s="5" t="s">
        <v>83</v>
      </c>
      <c r="M22" s="6"/>
      <c r="N22" s="5" t="s">
        <v>83</v>
      </c>
      <c r="O22" s="5" t="s">
        <v>83</v>
      </c>
      <c r="P22" s="5" t="s">
        <v>83</v>
      </c>
      <c r="Q22" s="5" t="s">
        <v>83</v>
      </c>
    </row>
    <row r="23" ht="42" customHeight="1" spans="1:17">
      <c r="A23" s="1" t="s">
        <v>166</v>
      </c>
      <c r="B23" s="1" t="s">
        <v>39</v>
      </c>
      <c r="C23" s="1" t="s">
        <v>76</v>
      </c>
      <c r="D23" s="1" t="s">
        <v>167</v>
      </c>
      <c r="E23" s="1" t="s">
        <v>11</v>
      </c>
      <c r="F23" s="1" t="s">
        <v>147</v>
      </c>
      <c r="G23" s="1" t="s">
        <v>168</v>
      </c>
      <c r="H23" s="1" t="s">
        <v>169</v>
      </c>
      <c r="I23" s="1" t="s">
        <v>170</v>
      </c>
      <c r="J23" s="1" t="s">
        <v>82</v>
      </c>
      <c r="K23" s="5" t="s">
        <v>14</v>
      </c>
      <c r="L23" s="5" t="s">
        <v>83</v>
      </c>
      <c r="M23" s="6"/>
      <c r="N23" s="5" t="s">
        <v>83</v>
      </c>
      <c r="O23" s="5" t="s">
        <v>83</v>
      </c>
      <c r="P23" s="5" t="s">
        <v>83</v>
      </c>
      <c r="Q23" s="5" t="s">
        <v>83</v>
      </c>
    </row>
    <row r="24" ht="72" customHeight="1" spans="1:17">
      <c r="A24" s="1" t="s">
        <v>171</v>
      </c>
      <c r="B24" s="1" t="s">
        <v>39</v>
      </c>
      <c r="C24" s="1" t="s">
        <v>76</v>
      </c>
      <c r="D24" s="1" t="s">
        <v>172</v>
      </c>
      <c r="E24" s="1" t="s">
        <v>11</v>
      </c>
      <c r="F24" s="1" t="s">
        <v>147</v>
      </c>
      <c r="G24" s="1" t="s">
        <v>173</v>
      </c>
      <c r="H24" s="1" t="s">
        <v>174</v>
      </c>
      <c r="I24" s="1" t="s">
        <v>175</v>
      </c>
      <c r="J24" s="1" t="s">
        <v>176</v>
      </c>
      <c r="K24" s="5" t="s">
        <v>14</v>
      </c>
      <c r="L24" s="5" t="s">
        <v>83</v>
      </c>
      <c r="M24" s="6"/>
      <c r="N24" s="5" t="s">
        <v>83</v>
      </c>
      <c r="O24" s="5" t="s">
        <v>83</v>
      </c>
      <c r="P24" s="5" t="s">
        <v>83</v>
      </c>
      <c r="Q24" s="5" t="s">
        <v>177</v>
      </c>
    </row>
    <row r="25" ht="72" customHeight="1" spans="1:17">
      <c r="A25" s="1" t="s">
        <v>178</v>
      </c>
      <c r="B25" s="1" t="s">
        <v>41</v>
      </c>
      <c r="C25" s="1" t="s">
        <v>76</v>
      </c>
      <c r="D25" s="1" t="s">
        <v>179</v>
      </c>
      <c r="E25" s="1" t="s">
        <v>11</v>
      </c>
      <c r="F25" s="1" t="s">
        <v>180</v>
      </c>
      <c r="G25" s="1" t="s">
        <v>181</v>
      </c>
      <c r="H25" s="1" t="s">
        <v>182</v>
      </c>
      <c r="I25" s="1" t="s">
        <v>183</v>
      </c>
      <c r="J25" s="1" t="s">
        <v>82</v>
      </c>
      <c r="K25" s="5" t="s">
        <v>14</v>
      </c>
      <c r="L25" s="5" t="s">
        <v>83</v>
      </c>
      <c r="M25" s="6"/>
      <c r="N25" s="5" t="s">
        <v>83</v>
      </c>
      <c r="O25" s="5" t="s">
        <v>83</v>
      </c>
      <c r="P25" s="5" t="s">
        <v>83</v>
      </c>
      <c r="Q25" s="5" t="s">
        <v>83</v>
      </c>
    </row>
    <row r="26" ht="57" customHeight="1" spans="1:17">
      <c r="A26" s="1" t="s">
        <v>184</v>
      </c>
      <c r="B26" s="1" t="s">
        <v>41</v>
      </c>
      <c r="C26" s="1" t="s">
        <v>76</v>
      </c>
      <c r="D26" s="1" t="s">
        <v>185</v>
      </c>
      <c r="E26" s="1" t="s">
        <v>15</v>
      </c>
      <c r="F26" s="1" t="s">
        <v>180</v>
      </c>
      <c r="G26" s="1" t="s">
        <v>186</v>
      </c>
      <c r="H26" s="1" t="s">
        <v>187</v>
      </c>
      <c r="I26" s="1" t="s">
        <v>188</v>
      </c>
      <c r="J26" s="1" t="s">
        <v>82</v>
      </c>
      <c r="K26" s="5" t="s">
        <v>14</v>
      </c>
      <c r="L26" s="5" t="s">
        <v>83</v>
      </c>
      <c r="M26" s="6"/>
      <c r="N26" s="5" t="s">
        <v>83</v>
      </c>
      <c r="O26" s="5" t="s">
        <v>83</v>
      </c>
      <c r="P26" s="5" t="s">
        <v>83</v>
      </c>
      <c r="Q26" s="5" t="s">
        <v>83</v>
      </c>
    </row>
    <row r="27" ht="57" customHeight="1" spans="1:17">
      <c r="A27" s="1" t="s">
        <v>189</v>
      </c>
      <c r="B27" s="1" t="s">
        <v>41</v>
      </c>
      <c r="C27" s="1" t="s">
        <v>76</v>
      </c>
      <c r="D27" s="1" t="s">
        <v>190</v>
      </c>
      <c r="E27" s="1" t="s">
        <v>15</v>
      </c>
      <c r="F27" s="1" t="s">
        <v>180</v>
      </c>
      <c r="G27" s="1" t="s">
        <v>191</v>
      </c>
      <c r="H27" s="1" t="s">
        <v>192</v>
      </c>
      <c r="I27" s="1" t="s">
        <v>193</v>
      </c>
      <c r="J27" s="1" t="s">
        <v>82</v>
      </c>
      <c r="K27" s="5" t="s">
        <v>14</v>
      </c>
      <c r="L27" s="5" t="s">
        <v>83</v>
      </c>
      <c r="M27" s="6"/>
      <c r="N27" s="5" t="s">
        <v>83</v>
      </c>
      <c r="O27" s="5" t="s">
        <v>83</v>
      </c>
      <c r="P27" s="5" t="s">
        <v>83</v>
      </c>
      <c r="Q27" s="5" t="s">
        <v>194</v>
      </c>
    </row>
    <row r="28" ht="42" customHeight="1" spans="1:17">
      <c r="A28" s="1" t="s">
        <v>195</v>
      </c>
      <c r="B28" s="1" t="s">
        <v>41</v>
      </c>
      <c r="C28" s="1" t="s">
        <v>76</v>
      </c>
      <c r="D28" s="1" t="s">
        <v>196</v>
      </c>
      <c r="E28" s="1" t="s">
        <v>11</v>
      </c>
      <c r="F28" s="1" t="s">
        <v>180</v>
      </c>
      <c r="G28" s="1" t="s">
        <v>197</v>
      </c>
      <c r="H28" s="1" t="s">
        <v>198</v>
      </c>
      <c r="I28" s="1" t="s">
        <v>199</v>
      </c>
      <c r="J28" s="1" t="s">
        <v>82</v>
      </c>
      <c r="K28" s="5" t="s">
        <v>14</v>
      </c>
      <c r="L28" s="5" t="s">
        <v>83</v>
      </c>
      <c r="M28" s="6"/>
      <c r="N28" s="5" t="s">
        <v>83</v>
      </c>
      <c r="O28" s="5" t="s">
        <v>83</v>
      </c>
      <c r="P28" s="5" t="s">
        <v>83</v>
      </c>
      <c r="Q28" s="5" t="s">
        <v>83</v>
      </c>
    </row>
    <row r="29" ht="87" customHeight="1" spans="1:17">
      <c r="A29" s="1" t="s">
        <v>200</v>
      </c>
      <c r="B29" s="1" t="s">
        <v>41</v>
      </c>
      <c r="C29" s="1" t="s">
        <v>76</v>
      </c>
      <c r="D29" s="1" t="s">
        <v>201</v>
      </c>
      <c r="E29" s="1" t="s">
        <v>11</v>
      </c>
      <c r="F29" s="1" t="s">
        <v>180</v>
      </c>
      <c r="G29" s="1" t="s">
        <v>202</v>
      </c>
      <c r="H29" s="1" t="s">
        <v>203</v>
      </c>
      <c r="I29" s="1" t="s">
        <v>204</v>
      </c>
      <c r="J29" s="1" t="s">
        <v>205</v>
      </c>
      <c r="K29" s="5" t="s">
        <v>14</v>
      </c>
      <c r="L29" s="5" t="s">
        <v>83</v>
      </c>
      <c r="M29" s="6"/>
      <c r="N29" s="5" t="s">
        <v>83</v>
      </c>
      <c r="O29" s="5" t="s">
        <v>83</v>
      </c>
      <c r="P29" s="5" t="s">
        <v>83</v>
      </c>
      <c r="Q29" s="5" t="s">
        <v>83</v>
      </c>
    </row>
    <row r="30" ht="42" customHeight="1" spans="1:17">
      <c r="A30" s="1" t="s">
        <v>206</v>
      </c>
      <c r="B30" s="1" t="s">
        <v>41</v>
      </c>
      <c r="C30" s="1" t="s">
        <v>76</v>
      </c>
      <c r="D30" s="1" t="s">
        <v>207</v>
      </c>
      <c r="E30" s="1" t="s">
        <v>11</v>
      </c>
      <c r="F30" s="1" t="s">
        <v>180</v>
      </c>
      <c r="G30" s="1" t="s">
        <v>208</v>
      </c>
      <c r="H30" s="1" t="s">
        <v>209</v>
      </c>
      <c r="I30" s="1" t="s">
        <v>210</v>
      </c>
      <c r="J30" s="1" t="s">
        <v>82</v>
      </c>
      <c r="K30" s="5" t="s">
        <v>14</v>
      </c>
      <c r="L30" s="5" t="s">
        <v>83</v>
      </c>
      <c r="M30" s="6"/>
      <c r="N30" s="5" t="s">
        <v>83</v>
      </c>
      <c r="O30" s="5" t="s">
        <v>83</v>
      </c>
      <c r="P30" s="5" t="s">
        <v>83</v>
      </c>
      <c r="Q30" s="5" t="s">
        <v>83</v>
      </c>
    </row>
    <row r="31" ht="57" customHeight="1" spans="1:17">
      <c r="A31" s="1" t="s">
        <v>211</v>
      </c>
      <c r="B31" s="1" t="s">
        <v>41</v>
      </c>
      <c r="C31" s="1" t="s">
        <v>76</v>
      </c>
      <c r="D31" s="1" t="s">
        <v>212</v>
      </c>
      <c r="E31" s="1" t="s">
        <v>11</v>
      </c>
      <c r="F31" s="1" t="s">
        <v>180</v>
      </c>
      <c r="G31" s="1" t="s">
        <v>213</v>
      </c>
      <c r="H31" s="1" t="s">
        <v>214</v>
      </c>
      <c r="I31" s="1" t="s">
        <v>215</v>
      </c>
      <c r="J31" s="1" t="s">
        <v>82</v>
      </c>
      <c r="K31" s="5" t="s">
        <v>14</v>
      </c>
      <c r="L31" s="5" t="s">
        <v>83</v>
      </c>
      <c r="M31" s="6"/>
      <c r="N31" s="5" t="s">
        <v>83</v>
      </c>
      <c r="O31" s="5" t="s">
        <v>83</v>
      </c>
      <c r="P31" s="5" t="s">
        <v>83</v>
      </c>
      <c r="Q31" s="5" t="s">
        <v>83</v>
      </c>
    </row>
    <row r="32" ht="57" customHeight="1" spans="1:17">
      <c r="A32" s="1" t="s">
        <v>216</v>
      </c>
      <c r="B32" s="1" t="s">
        <v>41</v>
      </c>
      <c r="C32" s="1" t="s">
        <v>76</v>
      </c>
      <c r="D32" s="1" t="s">
        <v>217</v>
      </c>
      <c r="E32" s="1" t="s">
        <v>15</v>
      </c>
      <c r="F32" s="1" t="s">
        <v>180</v>
      </c>
      <c r="G32" s="1" t="s">
        <v>218</v>
      </c>
      <c r="H32" s="1" t="s">
        <v>219</v>
      </c>
      <c r="I32" s="1" t="s">
        <v>220</v>
      </c>
      <c r="J32" s="1" t="s">
        <v>82</v>
      </c>
      <c r="K32" s="5" t="s">
        <v>14</v>
      </c>
      <c r="L32" s="5" t="s">
        <v>83</v>
      </c>
      <c r="M32" s="6"/>
      <c r="N32" s="5" t="s">
        <v>83</v>
      </c>
      <c r="O32" s="5" t="s">
        <v>83</v>
      </c>
      <c r="P32" s="5" t="s">
        <v>83</v>
      </c>
      <c r="Q32" s="5" t="s">
        <v>83</v>
      </c>
    </row>
    <row r="33" ht="72" customHeight="1" spans="1:17">
      <c r="A33" s="1" t="s">
        <v>221</v>
      </c>
      <c r="B33" s="1" t="s">
        <v>41</v>
      </c>
      <c r="C33" s="1" t="s">
        <v>76</v>
      </c>
      <c r="D33" s="1" t="s">
        <v>222</v>
      </c>
      <c r="E33" s="1" t="s">
        <v>15</v>
      </c>
      <c r="F33" s="1" t="s">
        <v>180</v>
      </c>
      <c r="G33" s="1" t="s">
        <v>223</v>
      </c>
      <c r="H33" s="1" t="s">
        <v>224</v>
      </c>
      <c r="I33" s="1" t="s">
        <v>225</v>
      </c>
      <c r="J33" s="1" t="s">
        <v>82</v>
      </c>
      <c r="K33" s="5" t="s">
        <v>14</v>
      </c>
      <c r="L33" s="5" t="s">
        <v>83</v>
      </c>
      <c r="M33" s="6"/>
      <c r="N33" s="5" t="s">
        <v>83</v>
      </c>
      <c r="O33" s="5" t="s">
        <v>83</v>
      </c>
      <c r="P33" s="5" t="s">
        <v>83</v>
      </c>
      <c r="Q33" s="5" t="s">
        <v>83</v>
      </c>
    </row>
    <row r="34" ht="57" customHeight="1" spans="1:17">
      <c r="A34" s="1" t="s">
        <v>226</v>
      </c>
      <c r="B34" s="1" t="s">
        <v>41</v>
      </c>
      <c r="C34" s="1" t="s">
        <v>76</v>
      </c>
      <c r="D34" s="1" t="s">
        <v>227</v>
      </c>
      <c r="E34" s="1" t="s">
        <v>15</v>
      </c>
      <c r="F34" s="1" t="s">
        <v>180</v>
      </c>
      <c r="G34" s="1" t="s">
        <v>228</v>
      </c>
      <c r="H34" s="1" t="s">
        <v>229</v>
      </c>
      <c r="I34" s="1" t="s">
        <v>230</v>
      </c>
      <c r="J34" s="1" t="s">
        <v>82</v>
      </c>
      <c r="K34" s="5" t="s">
        <v>14</v>
      </c>
      <c r="L34" s="5" t="s">
        <v>83</v>
      </c>
      <c r="M34" s="6"/>
      <c r="N34" s="5" t="s">
        <v>83</v>
      </c>
      <c r="O34" s="5" t="s">
        <v>83</v>
      </c>
      <c r="P34" s="5" t="s">
        <v>83</v>
      </c>
      <c r="Q34" s="5" t="s">
        <v>83</v>
      </c>
    </row>
    <row r="35" ht="72" customHeight="1" spans="1:17">
      <c r="A35" s="1" t="s">
        <v>231</v>
      </c>
      <c r="B35" s="1" t="s">
        <v>43</v>
      </c>
      <c r="C35" s="1" t="s">
        <v>232</v>
      </c>
      <c r="D35" s="1" t="s">
        <v>233</v>
      </c>
      <c r="E35" s="1" t="s">
        <v>11</v>
      </c>
      <c r="F35" s="1" t="s">
        <v>234</v>
      </c>
      <c r="G35" s="1" t="s">
        <v>235</v>
      </c>
      <c r="H35" s="1" t="s">
        <v>236</v>
      </c>
      <c r="I35" s="1" t="s">
        <v>237</v>
      </c>
      <c r="J35" s="1" t="s">
        <v>82</v>
      </c>
      <c r="K35" s="5" t="s">
        <v>14</v>
      </c>
      <c r="L35" s="5" t="s">
        <v>83</v>
      </c>
      <c r="M35" s="6"/>
      <c r="N35" s="5" t="s">
        <v>83</v>
      </c>
      <c r="O35" s="5" t="s">
        <v>83</v>
      </c>
      <c r="P35" s="5" t="s">
        <v>83</v>
      </c>
      <c r="Q35" s="5" t="s">
        <v>83</v>
      </c>
    </row>
    <row r="36" ht="42" customHeight="1" spans="1:17">
      <c r="A36" s="1" t="s">
        <v>238</v>
      </c>
      <c r="B36" s="1" t="s">
        <v>43</v>
      </c>
      <c r="C36" s="1" t="s">
        <v>232</v>
      </c>
      <c r="D36" s="1" t="s">
        <v>239</v>
      </c>
      <c r="E36" s="1" t="s">
        <v>11</v>
      </c>
      <c r="F36" s="1" t="s">
        <v>234</v>
      </c>
      <c r="G36" s="1" t="s">
        <v>240</v>
      </c>
      <c r="H36" s="1" t="s">
        <v>241</v>
      </c>
      <c r="I36" s="1" t="s">
        <v>242</v>
      </c>
      <c r="J36" s="1" t="s">
        <v>82</v>
      </c>
      <c r="K36" s="5" t="s">
        <v>14</v>
      </c>
      <c r="L36" s="5" t="s">
        <v>83</v>
      </c>
      <c r="M36" s="6"/>
      <c r="N36" s="5" t="s">
        <v>83</v>
      </c>
      <c r="O36" s="5" t="s">
        <v>83</v>
      </c>
      <c r="P36" s="5" t="s">
        <v>83</v>
      </c>
      <c r="Q36" s="5" t="s">
        <v>83</v>
      </c>
    </row>
    <row r="37" ht="42" customHeight="1" spans="1:17">
      <c r="A37" s="1" t="s">
        <v>243</v>
      </c>
      <c r="B37" s="1" t="s">
        <v>43</v>
      </c>
      <c r="C37" s="1" t="s">
        <v>232</v>
      </c>
      <c r="D37" s="1" t="s">
        <v>244</v>
      </c>
      <c r="E37" s="1" t="s">
        <v>11</v>
      </c>
      <c r="F37" s="1" t="s">
        <v>234</v>
      </c>
      <c r="G37" s="1" t="s">
        <v>245</v>
      </c>
      <c r="H37" s="1" t="s">
        <v>246</v>
      </c>
      <c r="I37" s="1" t="s">
        <v>247</v>
      </c>
      <c r="J37" s="1" t="s">
        <v>82</v>
      </c>
      <c r="K37" s="5" t="s">
        <v>14</v>
      </c>
      <c r="L37" s="5" t="s">
        <v>83</v>
      </c>
      <c r="M37" s="6"/>
      <c r="N37" s="5" t="s">
        <v>83</v>
      </c>
      <c r="O37" s="5" t="s">
        <v>83</v>
      </c>
      <c r="P37" s="5" t="s">
        <v>83</v>
      </c>
      <c r="Q37" s="5" t="s">
        <v>83</v>
      </c>
    </row>
    <row r="38" ht="42" customHeight="1" spans="1:17">
      <c r="A38" s="1" t="s">
        <v>248</v>
      </c>
      <c r="B38" s="1" t="s">
        <v>43</v>
      </c>
      <c r="C38" s="1" t="s">
        <v>232</v>
      </c>
      <c r="D38" s="1" t="s">
        <v>249</v>
      </c>
      <c r="E38" s="1" t="s">
        <v>15</v>
      </c>
      <c r="F38" s="1" t="s">
        <v>234</v>
      </c>
      <c r="G38" s="1" t="s">
        <v>250</v>
      </c>
      <c r="H38" s="1" t="s">
        <v>251</v>
      </c>
      <c r="I38" s="1" t="s">
        <v>252</v>
      </c>
      <c r="J38" s="1" t="s">
        <v>82</v>
      </c>
      <c r="K38" s="5" t="s">
        <v>14</v>
      </c>
      <c r="L38" s="5" t="s">
        <v>83</v>
      </c>
      <c r="M38" s="6"/>
      <c r="N38" s="5" t="s">
        <v>83</v>
      </c>
      <c r="O38" s="5" t="s">
        <v>83</v>
      </c>
      <c r="P38" s="5" t="s">
        <v>83</v>
      </c>
      <c r="Q38" s="5" t="s">
        <v>83</v>
      </c>
    </row>
    <row r="39" ht="72" customHeight="1" spans="1:17">
      <c r="A39" s="1" t="s">
        <v>253</v>
      </c>
      <c r="B39" s="1" t="s">
        <v>43</v>
      </c>
      <c r="C39" s="1" t="s">
        <v>232</v>
      </c>
      <c r="D39" s="1" t="s">
        <v>254</v>
      </c>
      <c r="E39" s="1" t="s">
        <v>11</v>
      </c>
      <c r="F39" s="1" t="s">
        <v>234</v>
      </c>
      <c r="G39" s="1" t="s">
        <v>255</v>
      </c>
      <c r="H39" s="1" t="s">
        <v>256</v>
      </c>
      <c r="I39" s="1" t="s">
        <v>257</v>
      </c>
      <c r="J39" s="1" t="s">
        <v>82</v>
      </c>
      <c r="K39" s="5" t="s">
        <v>14</v>
      </c>
      <c r="L39" s="5" t="s">
        <v>83</v>
      </c>
      <c r="M39" s="6"/>
      <c r="N39" s="5" t="s">
        <v>83</v>
      </c>
      <c r="O39" s="5" t="s">
        <v>83</v>
      </c>
      <c r="P39" s="5" t="s">
        <v>83</v>
      </c>
      <c r="Q39" s="5" t="s">
        <v>83</v>
      </c>
    </row>
    <row r="40" ht="57" customHeight="1" spans="1:17">
      <c r="A40" s="1" t="s">
        <v>258</v>
      </c>
      <c r="B40" s="1" t="s">
        <v>43</v>
      </c>
      <c r="C40" s="1" t="s">
        <v>232</v>
      </c>
      <c r="D40" s="1" t="s">
        <v>259</v>
      </c>
      <c r="E40" s="1" t="s">
        <v>15</v>
      </c>
      <c r="F40" s="1" t="s">
        <v>234</v>
      </c>
      <c r="G40" s="1" t="s">
        <v>260</v>
      </c>
      <c r="H40" s="1" t="s">
        <v>261</v>
      </c>
      <c r="I40" s="1" t="s">
        <v>262</v>
      </c>
      <c r="J40" s="1" t="s">
        <v>82</v>
      </c>
      <c r="K40" s="5" t="s">
        <v>14</v>
      </c>
      <c r="L40" s="5" t="s">
        <v>83</v>
      </c>
      <c r="M40" s="6"/>
      <c r="N40" s="5" t="s">
        <v>83</v>
      </c>
      <c r="O40" s="5" t="s">
        <v>83</v>
      </c>
      <c r="P40" s="5" t="s">
        <v>83</v>
      </c>
      <c r="Q40" s="5" t="s">
        <v>83</v>
      </c>
    </row>
    <row r="41" ht="57" customHeight="1" spans="1:17">
      <c r="A41" s="1" t="s">
        <v>263</v>
      </c>
      <c r="B41" s="1" t="s">
        <v>43</v>
      </c>
      <c r="C41" s="1" t="s">
        <v>232</v>
      </c>
      <c r="D41" s="1" t="s">
        <v>264</v>
      </c>
      <c r="E41" s="1" t="s">
        <v>11</v>
      </c>
      <c r="F41" s="1" t="s">
        <v>234</v>
      </c>
      <c r="G41" s="1" t="s">
        <v>265</v>
      </c>
      <c r="H41" s="1" t="s">
        <v>266</v>
      </c>
      <c r="I41" s="1" t="s">
        <v>267</v>
      </c>
      <c r="J41" s="1" t="s">
        <v>82</v>
      </c>
      <c r="K41" s="5" t="s">
        <v>14</v>
      </c>
      <c r="L41" s="5" t="s">
        <v>83</v>
      </c>
      <c r="M41" s="6"/>
      <c r="N41" s="5" t="s">
        <v>83</v>
      </c>
      <c r="O41" s="5" t="s">
        <v>83</v>
      </c>
      <c r="P41" s="5" t="s">
        <v>83</v>
      </c>
      <c r="Q41" s="5" t="s">
        <v>83</v>
      </c>
    </row>
    <row r="42" ht="72" customHeight="1" spans="1:17">
      <c r="A42" s="1" t="s">
        <v>268</v>
      </c>
      <c r="B42" s="1" t="s">
        <v>43</v>
      </c>
      <c r="C42" s="1" t="s">
        <v>232</v>
      </c>
      <c r="D42" s="1" t="s">
        <v>269</v>
      </c>
      <c r="E42" s="1" t="s">
        <v>11</v>
      </c>
      <c r="F42" s="1" t="s">
        <v>234</v>
      </c>
      <c r="G42" s="1" t="s">
        <v>270</v>
      </c>
      <c r="H42" s="1" t="s">
        <v>271</v>
      </c>
      <c r="I42" s="1" t="s">
        <v>272</v>
      </c>
      <c r="J42" s="1" t="s">
        <v>273</v>
      </c>
      <c r="K42" s="5" t="s">
        <v>14</v>
      </c>
      <c r="L42" s="5" t="s">
        <v>83</v>
      </c>
      <c r="M42" s="6"/>
      <c r="N42" s="5" t="s">
        <v>83</v>
      </c>
      <c r="O42" s="5" t="s">
        <v>83</v>
      </c>
      <c r="P42" s="5" t="s">
        <v>83</v>
      </c>
      <c r="Q42" s="5" t="s">
        <v>83</v>
      </c>
    </row>
    <row r="43" ht="57" customHeight="1" spans="1:17">
      <c r="A43" s="1" t="s">
        <v>274</v>
      </c>
      <c r="B43" s="1" t="s">
        <v>43</v>
      </c>
      <c r="C43" s="1" t="s">
        <v>232</v>
      </c>
      <c r="D43" s="1" t="s">
        <v>275</v>
      </c>
      <c r="E43" s="1" t="s">
        <v>15</v>
      </c>
      <c r="F43" s="1" t="s">
        <v>234</v>
      </c>
      <c r="G43" s="1" t="s">
        <v>276</v>
      </c>
      <c r="H43" s="1" t="s">
        <v>277</v>
      </c>
      <c r="I43" s="1" t="s">
        <v>278</v>
      </c>
      <c r="J43" s="1" t="s">
        <v>82</v>
      </c>
      <c r="K43" s="5" t="s">
        <v>14</v>
      </c>
      <c r="L43" s="5" t="s">
        <v>83</v>
      </c>
      <c r="M43" s="6"/>
      <c r="N43" s="5" t="s">
        <v>83</v>
      </c>
      <c r="O43" s="5" t="s">
        <v>83</v>
      </c>
      <c r="P43" s="5" t="s">
        <v>83</v>
      </c>
      <c r="Q43" s="5" t="s">
        <v>83</v>
      </c>
    </row>
    <row r="44" ht="72" customHeight="1" spans="1:17">
      <c r="A44" s="1" t="s">
        <v>279</v>
      </c>
      <c r="B44" s="1" t="s">
        <v>43</v>
      </c>
      <c r="C44" s="1" t="s">
        <v>232</v>
      </c>
      <c r="D44" s="1" t="s">
        <v>280</v>
      </c>
      <c r="E44" s="1" t="s">
        <v>15</v>
      </c>
      <c r="F44" s="1" t="s">
        <v>234</v>
      </c>
      <c r="G44" s="1" t="s">
        <v>281</v>
      </c>
      <c r="H44" s="1" t="s">
        <v>282</v>
      </c>
      <c r="I44" s="1" t="s">
        <v>283</v>
      </c>
      <c r="J44" s="1" t="s">
        <v>82</v>
      </c>
      <c r="K44" s="5" t="s">
        <v>14</v>
      </c>
      <c r="L44" s="5" t="s">
        <v>83</v>
      </c>
      <c r="M44" s="6"/>
      <c r="N44" s="5" t="s">
        <v>83</v>
      </c>
      <c r="O44" s="5" t="s">
        <v>83</v>
      </c>
      <c r="P44" s="5" t="s">
        <v>83</v>
      </c>
      <c r="Q44" s="5" t="s">
        <v>284</v>
      </c>
    </row>
    <row r="45" ht="72" customHeight="1" spans="1:17">
      <c r="A45" s="1" t="s">
        <v>285</v>
      </c>
      <c r="B45" s="1" t="s">
        <v>43</v>
      </c>
      <c r="C45" s="1" t="s">
        <v>232</v>
      </c>
      <c r="D45" s="1" t="s">
        <v>286</v>
      </c>
      <c r="E45" s="1" t="s">
        <v>15</v>
      </c>
      <c r="F45" s="1" t="s">
        <v>234</v>
      </c>
      <c r="G45" s="1" t="s">
        <v>287</v>
      </c>
      <c r="H45" s="1" t="s">
        <v>288</v>
      </c>
      <c r="I45" s="1" t="s">
        <v>289</v>
      </c>
      <c r="J45" s="1" t="s">
        <v>82</v>
      </c>
      <c r="K45" s="5" t="s">
        <v>14</v>
      </c>
      <c r="L45" s="5" t="s">
        <v>83</v>
      </c>
      <c r="M45" s="6"/>
      <c r="N45" s="5" t="s">
        <v>83</v>
      </c>
      <c r="O45" s="5" t="s">
        <v>83</v>
      </c>
      <c r="P45" s="5" t="s">
        <v>83</v>
      </c>
      <c r="Q45" s="5" t="s">
        <v>284</v>
      </c>
    </row>
    <row r="46" ht="72" customHeight="1" spans="1:17">
      <c r="A46" s="1" t="s">
        <v>290</v>
      </c>
      <c r="B46" s="1" t="s">
        <v>43</v>
      </c>
      <c r="C46" s="1" t="s">
        <v>232</v>
      </c>
      <c r="D46" s="1" t="s">
        <v>291</v>
      </c>
      <c r="E46" s="1" t="s">
        <v>15</v>
      </c>
      <c r="F46" s="1" t="s">
        <v>234</v>
      </c>
      <c r="G46" s="1" t="s">
        <v>292</v>
      </c>
      <c r="H46" s="1" t="s">
        <v>293</v>
      </c>
      <c r="I46" s="1" t="s">
        <v>294</v>
      </c>
      <c r="J46" s="1" t="s">
        <v>82</v>
      </c>
      <c r="K46" s="5" t="s">
        <v>14</v>
      </c>
      <c r="L46" s="5" t="s">
        <v>83</v>
      </c>
      <c r="M46" s="6"/>
      <c r="N46" s="5" t="s">
        <v>83</v>
      </c>
      <c r="O46" s="5" t="s">
        <v>83</v>
      </c>
      <c r="P46" s="5" t="s">
        <v>83</v>
      </c>
      <c r="Q46" s="5" t="s">
        <v>284</v>
      </c>
    </row>
    <row r="47" ht="72" customHeight="1" spans="1:17">
      <c r="A47" s="1" t="s">
        <v>295</v>
      </c>
      <c r="B47" s="1" t="s">
        <v>43</v>
      </c>
      <c r="C47" s="1" t="s">
        <v>232</v>
      </c>
      <c r="D47" s="1" t="s">
        <v>296</v>
      </c>
      <c r="E47" s="1" t="s">
        <v>15</v>
      </c>
      <c r="F47" s="1" t="s">
        <v>234</v>
      </c>
      <c r="G47" s="1" t="s">
        <v>297</v>
      </c>
      <c r="H47" s="1" t="s">
        <v>298</v>
      </c>
      <c r="I47" s="1" t="s">
        <v>299</v>
      </c>
      <c r="J47" s="1" t="s">
        <v>82</v>
      </c>
      <c r="K47" s="5" t="s">
        <v>14</v>
      </c>
      <c r="L47" s="5" t="s">
        <v>83</v>
      </c>
      <c r="M47" s="6"/>
      <c r="N47" s="5" t="s">
        <v>83</v>
      </c>
      <c r="O47" s="5" t="s">
        <v>83</v>
      </c>
      <c r="P47" s="5" t="s">
        <v>83</v>
      </c>
      <c r="Q47" s="5" t="s">
        <v>284</v>
      </c>
    </row>
    <row r="48" ht="72" customHeight="1" spans="1:17">
      <c r="A48" s="1" t="s">
        <v>300</v>
      </c>
      <c r="B48" s="1" t="s">
        <v>43</v>
      </c>
      <c r="C48" s="1" t="s">
        <v>232</v>
      </c>
      <c r="D48" s="1" t="s">
        <v>301</v>
      </c>
      <c r="E48" s="1" t="s">
        <v>15</v>
      </c>
      <c r="F48" s="1" t="s">
        <v>234</v>
      </c>
      <c r="G48" s="1" t="s">
        <v>302</v>
      </c>
      <c r="H48" s="1" t="s">
        <v>303</v>
      </c>
      <c r="I48" s="1" t="s">
        <v>304</v>
      </c>
      <c r="J48" s="1" t="s">
        <v>82</v>
      </c>
      <c r="K48" s="5" t="s">
        <v>14</v>
      </c>
      <c r="L48" s="5" t="s">
        <v>83</v>
      </c>
      <c r="M48" s="6"/>
      <c r="N48" s="5" t="s">
        <v>83</v>
      </c>
      <c r="O48" s="5" t="s">
        <v>83</v>
      </c>
      <c r="P48" s="5" t="s">
        <v>83</v>
      </c>
      <c r="Q48" s="5" t="s">
        <v>284</v>
      </c>
    </row>
    <row r="49" ht="57" customHeight="1" spans="1:17">
      <c r="A49" s="1" t="s">
        <v>305</v>
      </c>
      <c r="B49" s="1" t="s">
        <v>43</v>
      </c>
      <c r="C49" s="1" t="s">
        <v>232</v>
      </c>
      <c r="D49" s="1" t="s">
        <v>306</v>
      </c>
      <c r="E49" s="1" t="s">
        <v>15</v>
      </c>
      <c r="F49" s="1" t="s">
        <v>234</v>
      </c>
      <c r="G49" s="1" t="s">
        <v>307</v>
      </c>
      <c r="H49" s="1" t="s">
        <v>308</v>
      </c>
      <c r="I49" s="1" t="s">
        <v>309</v>
      </c>
      <c r="J49" s="1" t="s">
        <v>82</v>
      </c>
      <c r="K49" s="5" t="s">
        <v>14</v>
      </c>
      <c r="L49" s="5" t="s">
        <v>83</v>
      </c>
      <c r="M49" s="6"/>
      <c r="N49" s="5" t="s">
        <v>83</v>
      </c>
      <c r="O49" s="5" t="s">
        <v>83</v>
      </c>
      <c r="P49" s="5" t="s">
        <v>83</v>
      </c>
      <c r="Q49" s="5" t="s">
        <v>83</v>
      </c>
    </row>
    <row r="50" ht="57" customHeight="1" spans="1:17">
      <c r="A50" s="1" t="s">
        <v>310</v>
      </c>
      <c r="B50" s="1" t="s">
        <v>43</v>
      </c>
      <c r="C50" s="1" t="s">
        <v>232</v>
      </c>
      <c r="D50" s="1" t="s">
        <v>311</v>
      </c>
      <c r="E50" s="1" t="s">
        <v>11</v>
      </c>
      <c r="F50" s="1" t="s">
        <v>234</v>
      </c>
      <c r="G50" s="1" t="s">
        <v>312</v>
      </c>
      <c r="H50" s="1" t="s">
        <v>313</v>
      </c>
      <c r="I50" s="1" t="s">
        <v>314</v>
      </c>
      <c r="J50" s="1" t="s">
        <v>82</v>
      </c>
      <c r="K50" s="5" t="s">
        <v>14</v>
      </c>
      <c r="L50" s="5" t="s">
        <v>83</v>
      </c>
      <c r="M50" s="6"/>
      <c r="N50" s="5" t="s">
        <v>83</v>
      </c>
      <c r="O50" s="5" t="s">
        <v>83</v>
      </c>
      <c r="P50" s="5" t="s">
        <v>83</v>
      </c>
      <c r="Q50" s="5" t="s">
        <v>83</v>
      </c>
    </row>
    <row r="51" ht="57" customHeight="1" spans="1:17">
      <c r="A51" s="1" t="s">
        <v>315</v>
      </c>
      <c r="B51" s="1" t="s">
        <v>43</v>
      </c>
      <c r="C51" s="1" t="s">
        <v>232</v>
      </c>
      <c r="D51" s="1" t="s">
        <v>316</v>
      </c>
      <c r="E51" s="1" t="s">
        <v>15</v>
      </c>
      <c r="F51" s="1" t="s">
        <v>234</v>
      </c>
      <c r="G51" s="1" t="s">
        <v>317</v>
      </c>
      <c r="H51" s="1" t="s">
        <v>318</v>
      </c>
      <c r="I51" s="1" t="s">
        <v>319</v>
      </c>
      <c r="J51" s="1" t="s">
        <v>82</v>
      </c>
      <c r="K51" s="5" t="s">
        <v>14</v>
      </c>
      <c r="L51" s="5" t="s">
        <v>83</v>
      </c>
      <c r="M51" s="6"/>
      <c r="N51" s="5" t="s">
        <v>83</v>
      </c>
      <c r="O51" s="5" t="s">
        <v>83</v>
      </c>
      <c r="P51" s="5" t="s">
        <v>83</v>
      </c>
      <c r="Q51" s="5" t="s">
        <v>320</v>
      </c>
    </row>
    <row r="52" ht="57" customHeight="1" spans="1:17">
      <c r="A52" s="1" t="s">
        <v>321</v>
      </c>
      <c r="B52" s="1" t="s">
        <v>43</v>
      </c>
      <c r="C52" s="1" t="s">
        <v>232</v>
      </c>
      <c r="D52" s="1" t="s">
        <v>322</v>
      </c>
      <c r="E52" s="1" t="s">
        <v>15</v>
      </c>
      <c r="F52" s="1" t="s">
        <v>234</v>
      </c>
      <c r="G52" s="1" t="s">
        <v>323</v>
      </c>
      <c r="H52" s="1" t="s">
        <v>324</v>
      </c>
      <c r="I52" s="1" t="s">
        <v>309</v>
      </c>
      <c r="J52" s="1" t="s">
        <v>82</v>
      </c>
      <c r="K52" s="5" t="s">
        <v>14</v>
      </c>
      <c r="L52" s="5" t="s">
        <v>83</v>
      </c>
      <c r="M52" s="6"/>
      <c r="N52" s="5" t="s">
        <v>83</v>
      </c>
      <c r="O52" s="5" t="s">
        <v>83</v>
      </c>
      <c r="P52" s="5" t="s">
        <v>83</v>
      </c>
      <c r="Q52" s="5" t="s">
        <v>83</v>
      </c>
    </row>
    <row r="53" ht="57" customHeight="1" spans="1:17">
      <c r="A53" s="1" t="s">
        <v>325</v>
      </c>
      <c r="B53" s="1" t="s">
        <v>43</v>
      </c>
      <c r="C53" s="1" t="s">
        <v>232</v>
      </c>
      <c r="D53" s="1" t="s">
        <v>326</v>
      </c>
      <c r="E53" s="1" t="s">
        <v>11</v>
      </c>
      <c r="F53" s="1" t="s">
        <v>234</v>
      </c>
      <c r="G53" s="1" t="s">
        <v>327</v>
      </c>
      <c r="H53" s="1" t="s">
        <v>328</v>
      </c>
      <c r="I53" s="1" t="s">
        <v>314</v>
      </c>
      <c r="J53" s="1" t="s">
        <v>82</v>
      </c>
      <c r="K53" s="5" t="s">
        <v>14</v>
      </c>
      <c r="L53" s="5" t="s">
        <v>83</v>
      </c>
      <c r="M53" s="6"/>
      <c r="N53" s="5" t="s">
        <v>83</v>
      </c>
      <c r="O53" s="5" t="s">
        <v>83</v>
      </c>
      <c r="P53" s="5" t="s">
        <v>83</v>
      </c>
      <c r="Q53" s="5" t="s">
        <v>83</v>
      </c>
    </row>
    <row r="54" ht="57" customHeight="1" spans="1:17">
      <c r="A54" s="1" t="s">
        <v>329</v>
      </c>
      <c r="B54" s="1" t="s">
        <v>43</v>
      </c>
      <c r="C54" s="1" t="s">
        <v>232</v>
      </c>
      <c r="D54" s="1" t="s">
        <v>330</v>
      </c>
      <c r="E54" s="1" t="s">
        <v>15</v>
      </c>
      <c r="F54" s="1" t="s">
        <v>234</v>
      </c>
      <c r="G54" s="1" t="s">
        <v>331</v>
      </c>
      <c r="H54" s="1" t="s">
        <v>318</v>
      </c>
      <c r="I54" s="1" t="s">
        <v>319</v>
      </c>
      <c r="J54" s="1" t="s">
        <v>82</v>
      </c>
      <c r="K54" s="5" t="s">
        <v>14</v>
      </c>
      <c r="L54" s="5" t="s">
        <v>83</v>
      </c>
      <c r="M54" s="6"/>
      <c r="N54" s="5" t="s">
        <v>83</v>
      </c>
      <c r="O54" s="5" t="s">
        <v>83</v>
      </c>
      <c r="P54" s="5" t="s">
        <v>83</v>
      </c>
      <c r="Q54" s="5" t="s">
        <v>320</v>
      </c>
    </row>
    <row r="55" ht="57" customHeight="1" spans="1:17">
      <c r="A55" s="1" t="s">
        <v>332</v>
      </c>
      <c r="B55" s="1" t="s">
        <v>43</v>
      </c>
      <c r="C55" s="1" t="s">
        <v>232</v>
      </c>
      <c r="D55" s="1" t="s">
        <v>333</v>
      </c>
      <c r="E55" s="1" t="s">
        <v>15</v>
      </c>
      <c r="F55" s="1" t="s">
        <v>234</v>
      </c>
      <c r="G55" s="1" t="s">
        <v>334</v>
      </c>
      <c r="H55" s="1" t="s">
        <v>335</v>
      </c>
      <c r="I55" s="1" t="s">
        <v>336</v>
      </c>
      <c r="J55" s="1" t="s">
        <v>82</v>
      </c>
      <c r="K55" s="5" t="s">
        <v>14</v>
      </c>
      <c r="L55" s="5" t="s">
        <v>83</v>
      </c>
      <c r="M55" s="6"/>
      <c r="N55" s="5" t="s">
        <v>83</v>
      </c>
      <c r="O55" s="5" t="s">
        <v>83</v>
      </c>
      <c r="P55" s="5" t="s">
        <v>83</v>
      </c>
      <c r="Q55" s="5" t="s">
        <v>83</v>
      </c>
    </row>
    <row r="56" ht="57" customHeight="1" spans="1:17">
      <c r="A56" s="1" t="s">
        <v>337</v>
      </c>
      <c r="B56" s="1" t="s">
        <v>43</v>
      </c>
      <c r="C56" s="1" t="s">
        <v>232</v>
      </c>
      <c r="D56" s="1" t="s">
        <v>338</v>
      </c>
      <c r="E56" s="1" t="s">
        <v>15</v>
      </c>
      <c r="F56" s="1" t="s">
        <v>234</v>
      </c>
      <c r="G56" s="1" t="s">
        <v>339</v>
      </c>
      <c r="H56" s="1" t="s">
        <v>335</v>
      </c>
      <c r="I56" s="1" t="s">
        <v>340</v>
      </c>
      <c r="J56" s="1" t="s">
        <v>82</v>
      </c>
      <c r="K56" s="5" t="s">
        <v>14</v>
      </c>
      <c r="L56" s="5" t="s">
        <v>83</v>
      </c>
      <c r="M56" s="6"/>
      <c r="N56" s="5" t="s">
        <v>83</v>
      </c>
      <c r="O56" s="5" t="s">
        <v>83</v>
      </c>
      <c r="P56" s="5" t="s">
        <v>83</v>
      </c>
      <c r="Q56" s="5" t="s">
        <v>83</v>
      </c>
    </row>
    <row r="57" ht="57" customHeight="1" spans="1:17">
      <c r="A57" s="1" t="s">
        <v>341</v>
      </c>
      <c r="B57" s="1" t="s">
        <v>43</v>
      </c>
      <c r="C57" s="1" t="s">
        <v>232</v>
      </c>
      <c r="D57" s="1" t="s">
        <v>342</v>
      </c>
      <c r="E57" s="1" t="s">
        <v>15</v>
      </c>
      <c r="F57" s="1" t="s">
        <v>234</v>
      </c>
      <c r="G57" s="1" t="s">
        <v>343</v>
      </c>
      <c r="H57" s="1" t="s">
        <v>344</v>
      </c>
      <c r="I57" s="1" t="s">
        <v>345</v>
      </c>
      <c r="J57" s="1" t="s">
        <v>82</v>
      </c>
      <c r="K57" s="5" t="s">
        <v>14</v>
      </c>
      <c r="L57" s="5" t="s">
        <v>83</v>
      </c>
      <c r="M57" s="6"/>
      <c r="N57" s="5" t="s">
        <v>83</v>
      </c>
      <c r="O57" s="5" t="s">
        <v>83</v>
      </c>
      <c r="P57" s="5" t="s">
        <v>83</v>
      </c>
      <c r="Q57" s="5" t="s">
        <v>83</v>
      </c>
    </row>
    <row r="58" ht="42" customHeight="1" spans="1:17">
      <c r="A58" s="1" t="s">
        <v>346</v>
      </c>
      <c r="B58" s="1" t="s">
        <v>43</v>
      </c>
      <c r="C58" s="1" t="s">
        <v>232</v>
      </c>
      <c r="D58" s="1" t="s">
        <v>347</v>
      </c>
      <c r="E58" s="1" t="s">
        <v>11</v>
      </c>
      <c r="F58" s="1" t="s">
        <v>234</v>
      </c>
      <c r="G58" s="1" t="s">
        <v>348</v>
      </c>
      <c r="H58" s="1" t="s">
        <v>349</v>
      </c>
      <c r="I58" s="1" t="s">
        <v>350</v>
      </c>
      <c r="J58" s="1" t="s">
        <v>82</v>
      </c>
      <c r="K58" s="5" t="s">
        <v>14</v>
      </c>
      <c r="L58" s="5" t="s">
        <v>83</v>
      </c>
      <c r="M58" s="6"/>
      <c r="N58" s="5" t="s">
        <v>83</v>
      </c>
      <c r="O58" s="5" t="s">
        <v>83</v>
      </c>
      <c r="P58" s="5" t="s">
        <v>83</v>
      </c>
      <c r="Q58" s="5" t="s">
        <v>83</v>
      </c>
    </row>
    <row r="59" ht="57" customHeight="1" spans="1:17">
      <c r="A59" s="1" t="s">
        <v>351</v>
      </c>
      <c r="B59" s="1" t="s">
        <v>43</v>
      </c>
      <c r="C59" s="1" t="s">
        <v>232</v>
      </c>
      <c r="D59" s="1" t="s">
        <v>352</v>
      </c>
      <c r="E59" s="1" t="s">
        <v>15</v>
      </c>
      <c r="F59" s="1" t="s">
        <v>234</v>
      </c>
      <c r="G59" s="1" t="s">
        <v>353</v>
      </c>
      <c r="H59" s="1" t="s">
        <v>354</v>
      </c>
      <c r="I59" s="1" t="s">
        <v>355</v>
      </c>
      <c r="J59" s="1" t="s">
        <v>82</v>
      </c>
      <c r="K59" s="5" t="s">
        <v>14</v>
      </c>
      <c r="L59" s="5" t="s">
        <v>83</v>
      </c>
      <c r="M59" s="6"/>
      <c r="N59" s="5" t="s">
        <v>83</v>
      </c>
      <c r="O59" s="5" t="s">
        <v>83</v>
      </c>
      <c r="P59" s="5" t="s">
        <v>83</v>
      </c>
      <c r="Q59" s="5" t="s">
        <v>83</v>
      </c>
    </row>
    <row r="60" ht="57" customHeight="1" spans="1:17">
      <c r="A60" s="1" t="s">
        <v>356</v>
      </c>
      <c r="B60" s="1" t="s">
        <v>43</v>
      </c>
      <c r="C60" s="1" t="s">
        <v>232</v>
      </c>
      <c r="D60" s="1" t="s">
        <v>357</v>
      </c>
      <c r="E60" s="1" t="s">
        <v>15</v>
      </c>
      <c r="F60" s="1" t="s">
        <v>234</v>
      </c>
      <c r="G60" s="1" t="s">
        <v>358</v>
      </c>
      <c r="H60" s="1" t="s">
        <v>354</v>
      </c>
      <c r="I60" s="1" t="s">
        <v>359</v>
      </c>
      <c r="J60" s="1" t="s">
        <v>82</v>
      </c>
      <c r="K60" s="5" t="s">
        <v>14</v>
      </c>
      <c r="L60" s="5" t="s">
        <v>83</v>
      </c>
      <c r="M60" s="6"/>
      <c r="N60" s="5" t="s">
        <v>83</v>
      </c>
      <c r="O60" s="5" t="s">
        <v>83</v>
      </c>
      <c r="P60" s="5" t="s">
        <v>83</v>
      </c>
      <c r="Q60" s="5" t="s">
        <v>83</v>
      </c>
    </row>
    <row r="61" ht="57" customHeight="1" spans="1:17">
      <c r="A61" s="1" t="s">
        <v>360</v>
      </c>
      <c r="B61" s="1" t="s">
        <v>43</v>
      </c>
      <c r="C61" s="1" t="s">
        <v>232</v>
      </c>
      <c r="D61" s="1" t="s">
        <v>361</v>
      </c>
      <c r="E61" s="1" t="s">
        <v>15</v>
      </c>
      <c r="F61" s="1" t="s">
        <v>234</v>
      </c>
      <c r="G61" s="1" t="s">
        <v>362</v>
      </c>
      <c r="H61" s="1" t="s">
        <v>363</v>
      </c>
      <c r="I61" s="1" t="s">
        <v>364</v>
      </c>
      <c r="J61" s="1" t="s">
        <v>82</v>
      </c>
      <c r="K61" s="5" t="s">
        <v>14</v>
      </c>
      <c r="L61" s="5" t="s">
        <v>83</v>
      </c>
      <c r="M61" s="6"/>
      <c r="N61" s="5" t="s">
        <v>83</v>
      </c>
      <c r="O61" s="5" t="s">
        <v>83</v>
      </c>
      <c r="P61" s="5" t="s">
        <v>83</v>
      </c>
      <c r="Q61" s="5" t="s">
        <v>83</v>
      </c>
    </row>
    <row r="62" ht="57" customHeight="1" spans="1:17">
      <c r="A62" s="1" t="s">
        <v>365</v>
      </c>
      <c r="B62" s="1" t="s">
        <v>43</v>
      </c>
      <c r="C62" s="1" t="s">
        <v>232</v>
      </c>
      <c r="D62" s="1" t="s">
        <v>366</v>
      </c>
      <c r="E62" s="1" t="s">
        <v>15</v>
      </c>
      <c r="F62" s="1" t="s">
        <v>234</v>
      </c>
      <c r="G62" s="1" t="s">
        <v>367</v>
      </c>
      <c r="H62" s="1" t="s">
        <v>363</v>
      </c>
      <c r="I62" s="1" t="s">
        <v>368</v>
      </c>
      <c r="J62" s="1" t="s">
        <v>82</v>
      </c>
      <c r="K62" s="5" t="s">
        <v>14</v>
      </c>
      <c r="L62" s="5" t="s">
        <v>83</v>
      </c>
      <c r="M62" s="6"/>
      <c r="N62" s="5" t="s">
        <v>83</v>
      </c>
      <c r="O62" s="5" t="s">
        <v>83</v>
      </c>
      <c r="P62" s="5" t="s">
        <v>83</v>
      </c>
      <c r="Q62" s="5" t="s">
        <v>83</v>
      </c>
    </row>
    <row r="63" ht="87" customHeight="1" spans="1:17">
      <c r="A63" s="1" t="s">
        <v>369</v>
      </c>
      <c r="B63" s="1" t="s">
        <v>43</v>
      </c>
      <c r="C63" s="1" t="s">
        <v>232</v>
      </c>
      <c r="D63" s="1" t="s">
        <v>370</v>
      </c>
      <c r="E63" s="1" t="s">
        <v>11</v>
      </c>
      <c r="F63" s="1" t="s">
        <v>234</v>
      </c>
      <c r="G63" s="1" t="s">
        <v>371</v>
      </c>
      <c r="H63" s="1" t="s">
        <v>372</v>
      </c>
      <c r="I63" s="1" t="s">
        <v>373</v>
      </c>
      <c r="J63" s="1" t="s">
        <v>374</v>
      </c>
      <c r="K63" s="5" t="s">
        <v>14</v>
      </c>
      <c r="L63" s="5" t="s">
        <v>83</v>
      </c>
      <c r="M63" s="6"/>
      <c r="N63" s="5" t="s">
        <v>83</v>
      </c>
      <c r="O63" s="5" t="s">
        <v>83</v>
      </c>
      <c r="P63" s="5" t="s">
        <v>83</v>
      </c>
      <c r="Q63" s="5" t="s">
        <v>83</v>
      </c>
    </row>
    <row r="64" ht="57" customHeight="1" spans="1:17">
      <c r="A64" s="1" t="s">
        <v>375</v>
      </c>
      <c r="B64" s="1" t="s">
        <v>43</v>
      </c>
      <c r="C64" s="1" t="s">
        <v>232</v>
      </c>
      <c r="D64" s="1" t="s">
        <v>376</v>
      </c>
      <c r="E64" s="1" t="s">
        <v>11</v>
      </c>
      <c r="F64" s="1" t="s">
        <v>234</v>
      </c>
      <c r="G64" s="1" t="s">
        <v>377</v>
      </c>
      <c r="H64" s="1" t="s">
        <v>378</v>
      </c>
      <c r="I64" s="1" t="s">
        <v>379</v>
      </c>
      <c r="J64" s="1" t="s">
        <v>82</v>
      </c>
      <c r="K64" s="5" t="s">
        <v>14</v>
      </c>
      <c r="L64" s="5" t="s">
        <v>83</v>
      </c>
      <c r="M64" s="6"/>
      <c r="N64" s="5" t="s">
        <v>83</v>
      </c>
      <c r="O64" s="5" t="s">
        <v>83</v>
      </c>
      <c r="P64" s="5" t="s">
        <v>83</v>
      </c>
      <c r="Q64" s="5" t="s">
        <v>83</v>
      </c>
    </row>
    <row r="65" ht="57" customHeight="1" spans="1:17">
      <c r="A65" s="1" t="s">
        <v>380</v>
      </c>
      <c r="B65" s="1" t="s">
        <v>45</v>
      </c>
      <c r="C65" s="1" t="s">
        <v>381</v>
      </c>
      <c r="D65" s="1" t="s">
        <v>382</v>
      </c>
      <c r="E65" s="1" t="s">
        <v>11</v>
      </c>
      <c r="F65" s="1" t="s">
        <v>383</v>
      </c>
      <c r="G65" s="1" t="s">
        <v>384</v>
      </c>
      <c r="H65" s="1" t="s">
        <v>385</v>
      </c>
      <c r="I65" s="1" t="s">
        <v>386</v>
      </c>
      <c r="J65" s="1" t="s">
        <v>82</v>
      </c>
      <c r="K65" s="5" t="s">
        <v>14</v>
      </c>
      <c r="L65" s="5" t="s">
        <v>83</v>
      </c>
      <c r="M65" s="6"/>
      <c r="N65" s="5" t="s">
        <v>83</v>
      </c>
      <c r="O65" s="5" t="s">
        <v>83</v>
      </c>
      <c r="P65" s="5" t="s">
        <v>83</v>
      </c>
      <c r="Q65" s="5" t="s">
        <v>83</v>
      </c>
    </row>
    <row r="66" ht="57" customHeight="1" spans="1:17">
      <c r="A66" s="1" t="s">
        <v>387</v>
      </c>
      <c r="B66" s="1" t="s">
        <v>45</v>
      </c>
      <c r="C66" s="1" t="s">
        <v>381</v>
      </c>
      <c r="D66" s="1" t="s">
        <v>388</v>
      </c>
      <c r="E66" s="1" t="s">
        <v>11</v>
      </c>
      <c r="F66" s="1" t="s">
        <v>383</v>
      </c>
      <c r="G66" s="1" t="s">
        <v>384</v>
      </c>
      <c r="H66" s="1" t="s">
        <v>389</v>
      </c>
      <c r="I66" s="1" t="s">
        <v>386</v>
      </c>
      <c r="J66" s="1" t="s">
        <v>82</v>
      </c>
      <c r="K66" s="5" t="s">
        <v>14</v>
      </c>
      <c r="L66" s="5" t="s">
        <v>83</v>
      </c>
      <c r="M66" s="6"/>
      <c r="N66" s="5" t="s">
        <v>83</v>
      </c>
      <c r="O66" s="5" t="s">
        <v>83</v>
      </c>
      <c r="P66" s="5" t="s">
        <v>83</v>
      </c>
      <c r="Q66" s="5" t="s">
        <v>83</v>
      </c>
    </row>
    <row r="67" ht="57" customHeight="1" spans="1:17">
      <c r="A67" s="1" t="s">
        <v>390</v>
      </c>
      <c r="B67" s="1" t="s">
        <v>45</v>
      </c>
      <c r="C67" s="1" t="s">
        <v>381</v>
      </c>
      <c r="D67" s="1" t="s">
        <v>391</v>
      </c>
      <c r="E67" s="1" t="s">
        <v>11</v>
      </c>
      <c r="F67" s="1" t="s">
        <v>383</v>
      </c>
      <c r="G67" s="1" t="s">
        <v>384</v>
      </c>
      <c r="H67" s="1" t="s">
        <v>392</v>
      </c>
      <c r="I67" s="1" t="s">
        <v>386</v>
      </c>
      <c r="J67" s="1" t="s">
        <v>82</v>
      </c>
      <c r="K67" s="5" t="s">
        <v>14</v>
      </c>
      <c r="L67" s="5" t="s">
        <v>83</v>
      </c>
      <c r="M67" s="6"/>
      <c r="N67" s="5" t="s">
        <v>83</v>
      </c>
      <c r="O67" s="5" t="s">
        <v>83</v>
      </c>
      <c r="P67" s="5" t="s">
        <v>83</v>
      </c>
      <c r="Q67" s="5" t="s">
        <v>83</v>
      </c>
    </row>
    <row r="68" ht="42" customHeight="1" spans="1:17">
      <c r="A68" s="1" t="s">
        <v>393</v>
      </c>
      <c r="B68" s="1" t="s">
        <v>45</v>
      </c>
      <c r="C68" s="1" t="s">
        <v>381</v>
      </c>
      <c r="D68" s="1" t="s">
        <v>394</v>
      </c>
      <c r="E68" s="1" t="s">
        <v>11</v>
      </c>
      <c r="F68" s="1" t="s">
        <v>383</v>
      </c>
      <c r="G68" s="1" t="s">
        <v>395</v>
      </c>
      <c r="H68" s="1" t="s">
        <v>396</v>
      </c>
      <c r="I68" s="1" t="s">
        <v>397</v>
      </c>
      <c r="J68" s="1" t="s">
        <v>82</v>
      </c>
      <c r="K68" s="5" t="s">
        <v>14</v>
      </c>
      <c r="L68" s="5" t="s">
        <v>83</v>
      </c>
      <c r="M68" s="6"/>
      <c r="N68" s="5" t="s">
        <v>83</v>
      </c>
      <c r="O68" s="5" t="s">
        <v>83</v>
      </c>
      <c r="P68" s="5" t="s">
        <v>83</v>
      </c>
      <c r="Q68" s="5" t="s">
        <v>83</v>
      </c>
    </row>
    <row r="69" ht="72" customHeight="1" spans="1:17">
      <c r="A69" s="1" t="s">
        <v>398</v>
      </c>
      <c r="B69" s="1" t="s">
        <v>47</v>
      </c>
      <c r="C69" s="1" t="s">
        <v>399</v>
      </c>
      <c r="D69" s="1" t="s">
        <v>400</v>
      </c>
      <c r="E69" s="1" t="s">
        <v>11</v>
      </c>
      <c r="F69" s="1" t="s">
        <v>401</v>
      </c>
      <c r="G69" s="1" t="s">
        <v>402</v>
      </c>
      <c r="H69" s="1" t="s">
        <v>403</v>
      </c>
      <c r="I69" s="1" t="s">
        <v>404</v>
      </c>
      <c r="J69" s="1" t="s">
        <v>82</v>
      </c>
      <c r="K69" s="5" t="s">
        <v>14</v>
      </c>
      <c r="L69" s="5" t="s">
        <v>83</v>
      </c>
      <c r="M69" s="6"/>
      <c r="N69" s="5" t="s">
        <v>83</v>
      </c>
      <c r="O69" s="5" t="s">
        <v>83</v>
      </c>
      <c r="P69" s="5" t="s">
        <v>83</v>
      </c>
      <c r="Q69" s="5" t="s">
        <v>83</v>
      </c>
    </row>
    <row r="70" ht="57" customHeight="1" spans="1:17">
      <c r="A70" s="1" t="s">
        <v>405</v>
      </c>
      <c r="B70" s="1" t="s">
        <v>47</v>
      </c>
      <c r="C70" s="1" t="s">
        <v>399</v>
      </c>
      <c r="D70" s="1" t="s">
        <v>406</v>
      </c>
      <c r="E70" s="1" t="s">
        <v>15</v>
      </c>
      <c r="F70" s="1" t="s">
        <v>401</v>
      </c>
      <c r="G70" s="1" t="s">
        <v>407</v>
      </c>
      <c r="H70" s="1" t="s">
        <v>408</v>
      </c>
      <c r="I70" s="1" t="s">
        <v>409</v>
      </c>
      <c r="J70" s="1" t="s">
        <v>82</v>
      </c>
      <c r="K70" s="5" t="s">
        <v>14</v>
      </c>
      <c r="L70" s="5" t="s">
        <v>83</v>
      </c>
      <c r="M70" s="6"/>
      <c r="N70" s="5" t="s">
        <v>83</v>
      </c>
      <c r="O70" s="5" t="s">
        <v>83</v>
      </c>
      <c r="P70" s="5" t="s">
        <v>83</v>
      </c>
      <c r="Q70" s="5" t="s">
        <v>83</v>
      </c>
    </row>
    <row r="71" ht="57" customHeight="1" spans="1:17">
      <c r="A71" s="1" t="s">
        <v>410</v>
      </c>
      <c r="B71" s="1" t="s">
        <v>47</v>
      </c>
      <c r="C71" s="1" t="s">
        <v>399</v>
      </c>
      <c r="D71" s="1" t="s">
        <v>411</v>
      </c>
      <c r="E71" s="1" t="s">
        <v>15</v>
      </c>
      <c r="F71" s="1" t="s">
        <v>401</v>
      </c>
      <c r="G71" s="1" t="s">
        <v>412</v>
      </c>
      <c r="H71" s="1" t="s">
        <v>413</v>
      </c>
      <c r="I71" s="1" t="s">
        <v>414</v>
      </c>
      <c r="J71" s="1" t="s">
        <v>82</v>
      </c>
      <c r="K71" s="5" t="s">
        <v>14</v>
      </c>
      <c r="L71" s="5" t="s">
        <v>83</v>
      </c>
      <c r="M71" s="6"/>
      <c r="N71" s="5" t="s">
        <v>83</v>
      </c>
      <c r="O71" s="5" t="s">
        <v>83</v>
      </c>
      <c r="P71" s="5" t="s">
        <v>83</v>
      </c>
      <c r="Q71" s="5" t="s">
        <v>83</v>
      </c>
    </row>
    <row r="72" ht="57" customHeight="1" spans="1:17">
      <c r="A72" s="1" t="s">
        <v>415</v>
      </c>
      <c r="B72" s="1" t="s">
        <v>47</v>
      </c>
      <c r="C72" s="1" t="s">
        <v>399</v>
      </c>
      <c r="D72" s="1" t="s">
        <v>416</v>
      </c>
      <c r="E72" s="1" t="s">
        <v>15</v>
      </c>
      <c r="F72" s="1" t="s">
        <v>401</v>
      </c>
      <c r="G72" s="1" t="s">
        <v>417</v>
      </c>
      <c r="H72" s="1" t="s">
        <v>418</v>
      </c>
      <c r="I72" s="1" t="s">
        <v>419</v>
      </c>
      <c r="J72" s="1" t="s">
        <v>82</v>
      </c>
      <c r="K72" s="5" t="s">
        <v>14</v>
      </c>
      <c r="L72" s="5" t="s">
        <v>83</v>
      </c>
      <c r="M72" s="6"/>
      <c r="N72" s="5" t="s">
        <v>83</v>
      </c>
      <c r="O72" s="5" t="s">
        <v>83</v>
      </c>
      <c r="P72" s="5" t="s">
        <v>83</v>
      </c>
      <c r="Q72" s="5" t="s">
        <v>83</v>
      </c>
    </row>
    <row r="73" ht="57" customHeight="1" spans="1:17">
      <c r="A73" s="1" t="s">
        <v>420</v>
      </c>
      <c r="B73" s="1" t="s">
        <v>47</v>
      </c>
      <c r="C73" s="1" t="s">
        <v>399</v>
      </c>
      <c r="D73" s="1" t="s">
        <v>421</v>
      </c>
      <c r="E73" s="1" t="s">
        <v>11</v>
      </c>
      <c r="F73" s="1" t="s">
        <v>401</v>
      </c>
      <c r="G73" s="1" t="s">
        <v>422</v>
      </c>
      <c r="H73" s="1" t="s">
        <v>423</v>
      </c>
      <c r="I73" s="1" t="s">
        <v>424</v>
      </c>
      <c r="J73" s="1" t="s">
        <v>82</v>
      </c>
      <c r="K73" s="5" t="s">
        <v>14</v>
      </c>
      <c r="L73" s="5" t="s">
        <v>83</v>
      </c>
      <c r="M73" s="6"/>
      <c r="N73" s="5" t="s">
        <v>83</v>
      </c>
      <c r="O73" s="5" t="s">
        <v>83</v>
      </c>
      <c r="P73" s="5" t="s">
        <v>83</v>
      </c>
      <c r="Q73" s="5" t="s">
        <v>83</v>
      </c>
    </row>
    <row r="74" ht="57" customHeight="1" spans="1:17">
      <c r="A74" s="1" t="s">
        <v>425</v>
      </c>
      <c r="B74" s="1" t="s">
        <v>47</v>
      </c>
      <c r="C74" s="1" t="s">
        <v>399</v>
      </c>
      <c r="D74" s="1" t="s">
        <v>426</v>
      </c>
      <c r="E74" s="1" t="s">
        <v>15</v>
      </c>
      <c r="F74" s="1" t="s">
        <v>401</v>
      </c>
      <c r="G74" s="1" t="s">
        <v>427</v>
      </c>
      <c r="H74" s="1" t="s">
        <v>428</v>
      </c>
      <c r="I74" s="1" t="s">
        <v>429</v>
      </c>
      <c r="J74" s="1" t="s">
        <v>82</v>
      </c>
      <c r="K74" s="5" t="s">
        <v>14</v>
      </c>
      <c r="L74" s="5" t="s">
        <v>83</v>
      </c>
      <c r="M74" s="6"/>
      <c r="N74" s="5" t="s">
        <v>83</v>
      </c>
      <c r="O74" s="5" t="s">
        <v>83</v>
      </c>
      <c r="P74" s="5" t="s">
        <v>83</v>
      </c>
      <c r="Q74" s="5" t="s">
        <v>83</v>
      </c>
    </row>
    <row r="75" ht="57" customHeight="1" spans="1:17">
      <c r="A75" s="1" t="s">
        <v>430</v>
      </c>
      <c r="B75" s="1" t="s">
        <v>47</v>
      </c>
      <c r="C75" s="1" t="s">
        <v>399</v>
      </c>
      <c r="D75" s="1" t="s">
        <v>431</v>
      </c>
      <c r="E75" s="1" t="s">
        <v>11</v>
      </c>
      <c r="F75" s="1" t="s">
        <v>401</v>
      </c>
      <c r="G75" s="1" t="s">
        <v>432</v>
      </c>
      <c r="H75" s="1" t="s">
        <v>433</v>
      </c>
      <c r="I75" s="1" t="s">
        <v>434</v>
      </c>
      <c r="J75" s="1" t="s">
        <v>82</v>
      </c>
      <c r="K75" s="5" t="s">
        <v>14</v>
      </c>
      <c r="L75" s="5" t="s">
        <v>83</v>
      </c>
      <c r="M75" s="6"/>
      <c r="N75" s="5" t="s">
        <v>83</v>
      </c>
      <c r="O75" s="5" t="s">
        <v>83</v>
      </c>
      <c r="P75" s="5" t="s">
        <v>83</v>
      </c>
      <c r="Q75" s="5" t="s">
        <v>83</v>
      </c>
    </row>
    <row r="76" ht="57" customHeight="1" spans="1:17">
      <c r="A76" s="1" t="s">
        <v>435</v>
      </c>
      <c r="B76" s="1" t="s">
        <v>47</v>
      </c>
      <c r="C76" s="1" t="s">
        <v>399</v>
      </c>
      <c r="D76" s="1" t="s">
        <v>436</v>
      </c>
      <c r="E76" s="1" t="s">
        <v>15</v>
      </c>
      <c r="F76" s="1" t="s">
        <v>401</v>
      </c>
      <c r="G76" s="1" t="s">
        <v>437</v>
      </c>
      <c r="H76" s="1" t="s">
        <v>438</v>
      </c>
      <c r="I76" s="1" t="s">
        <v>439</v>
      </c>
      <c r="J76" s="1" t="s">
        <v>440</v>
      </c>
      <c r="K76" s="5" t="s">
        <v>14</v>
      </c>
      <c r="L76" s="5" t="s">
        <v>83</v>
      </c>
      <c r="M76" s="6"/>
      <c r="N76" s="5" t="s">
        <v>83</v>
      </c>
      <c r="O76" s="5" t="s">
        <v>83</v>
      </c>
      <c r="P76" s="5" t="s">
        <v>83</v>
      </c>
      <c r="Q76" s="5" t="s">
        <v>83</v>
      </c>
    </row>
    <row r="77" ht="57" customHeight="1" spans="1:17">
      <c r="A77" s="1" t="s">
        <v>441</v>
      </c>
      <c r="B77" s="1" t="s">
        <v>47</v>
      </c>
      <c r="C77" s="1" t="s">
        <v>399</v>
      </c>
      <c r="D77" s="1" t="s">
        <v>442</v>
      </c>
      <c r="E77" s="1" t="s">
        <v>15</v>
      </c>
      <c r="F77" s="1" t="s">
        <v>401</v>
      </c>
      <c r="G77" s="1" t="s">
        <v>443</v>
      </c>
      <c r="H77" s="1" t="s">
        <v>438</v>
      </c>
      <c r="I77" s="1" t="s">
        <v>444</v>
      </c>
      <c r="J77" s="1" t="s">
        <v>440</v>
      </c>
      <c r="K77" s="5" t="s">
        <v>14</v>
      </c>
      <c r="L77" s="5" t="s">
        <v>83</v>
      </c>
      <c r="M77" s="6"/>
      <c r="N77" s="5" t="s">
        <v>83</v>
      </c>
      <c r="O77" s="5" t="s">
        <v>83</v>
      </c>
      <c r="P77" s="5" t="s">
        <v>83</v>
      </c>
      <c r="Q77" s="5" t="s">
        <v>83</v>
      </c>
    </row>
    <row r="78" ht="57" customHeight="1" spans="1:17">
      <c r="A78" s="1" t="s">
        <v>445</v>
      </c>
      <c r="B78" s="1" t="s">
        <v>47</v>
      </c>
      <c r="C78" s="1" t="s">
        <v>399</v>
      </c>
      <c r="D78" s="1" t="s">
        <v>446</v>
      </c>
      <c r="E78" s="1" t="s">
        <v>15</v>
      </c>
      <c r="F78" s="1" t="s">
        <v>401</v>
      </c>
      <c r="G78" s="1" t="s">
        <v>447</v>
      </c>
      <c r="H78" s="1" t="s">
        <v>438</v>
      </c>
      <c r="I78" s="1" t="s">
        <v>444</v>
      </c>
      <c r="J78" s="1" t="s">
        <v>440</v>
      </c>
      <c r="K78" s="5" t="s">
        <v>14</v>
      </c>
      <c r="L78" s="5" t="s">
        <v>83</v>
      </c>
      <c r="M78" s="6"/>
      <c r="N78" s="5" t="s">
        <v>83</v>
      </c>
      <c r="O78" s="5" t="s">
        <v>83</v>
      </c>
      <c r="P78" s="5" t="s">
        <v>83</v>
      </c>
      <c r="Q78" s="5" t="s">
        <v>83</v>
      </c>
    </row>
    <row r="79" ht="57" customHeight="1" spans="1:17">
      <c r="A79" s="1" t="s">
        <v>448</v>
      </c>
      <c r="B79" s="1" t="s">
        <v>47</v>
      </c>
      <c r="C79" s="1" t="s">
        <v>399</v>
      </c>
      <c r="D79" s="1" t="s">
        <v>449</v>
      </c>
      <c r="E79" s="1" t="s">
        <v>15</v>
      </c>
      <c r="F79" s="1" t="s">
        <v>401</v>
      </c>
      <c r="G79" s="1" t="s">
        <v>450</v>
      </c>
      <c r="H79" s="1" t="s">
        <v>438</v>
      </c>
      <c r="I79" s="1" t="s">
        <v>444</v>
      </c>
      <c r="J79" s="1" t="s">
        <v>440</v>
      </c>
      <c r="K79" s="5" t="s">
        <v>14</v>
      </c>
      <c r="L79" s="5" t="s">
        <v>83</v>
      </c>
      <c r="M79" s="6"/>
      <c r="N79" s="5" t="s">
        <v>83</v>
      </c>
      <c r="O79" s="5" t="s">
        <v>83</v>
      </c>
      <c r="P79" s="5" t="s">
        <v>83</v>
      </c>
      <c r="Q79" s="5" t="s">
        <v>83</v>
      </c>
    </row>
    <row r="80" ht="57" customHeight="1" spans="1:17">
      <c r="A80" s="1" t="s">
        <v>451</v>
      </c>
      <c r="B80" s="1" t="s">
        <v>47</v>
      </c>
      <c r="C80" s="1" t="s">
        <v>399</v>
      </c>
      <c r="D80" s="1" t="s">
        <v>452</v>
      </c>
      <c r="E80" s="1" t="s">
        <v>15</v>
      </c>
      <c r="F80" s="1" t="s">
        <v>401</v>
      </c>
      <c r="G80" s="1" t="s">
        <v>453</v>
      </c>
      <c r="H80" s="1" t="s">
        <v>438</v>
      </c>
      <c r="I80" s="1" t="s">
        <v>444</v>
      </c>
      <c r="J80" s="1" t="s">
        <v>440</v>
      </c>
      <c r="K80" s="5" t="s">
        <v>14</v>
      </c>
      <c r="L80" s="5" t="s">
        <v>83</v>
      </c>
      <c r="M80" s="6"/>
      <c r="N80" s="5" t="s">
        <v>83</v>
      </c>
      <c r="O80" s="5" t="s">
        <v>83</v>
      </c>
      <c r="P80" s="5" t="s">
        <v>83</v>
      </c>
      <c r="Q80" s="5" t="s">
        <v>83</v>
      </c>
    </row>
    <row r="81" ht="57" customHeight="1" spans="1:17">
      <c r="A81" s="1" t="s">
        <v>454</v>
      </c>
      <c r="B81" s="1" t="s">
        <v>47</v>
      </c>
      <c r="C81" s="1" t="s">
        <v>399</v>
      </c>
      <c r="D81" s="1" t="s">
        <v>455</v>
      </c>
      <c r="E81" s="1" t="s">
        <v>15</v>
      </c>
      <c r="F81" s="1" t="s">
        <v>401</v>
      </c>
      <c r="G81" s="1" t="s">
        <v>456</v>
      </c>
      <c r="H81" s="1" t="s">
        <v>438</v>
      </c>
      <c r="I81" s="1" t="s">
        <v>439</v>
      </c>
      <c r="J81" s="1" t="s">
        <v>440</v>
      </c>
      <c r="K81" s="5" t="s">
        <v>14</v>
      </c>
      <c r="L81" s="5" t="s">
        <v>83</v>
      </c>
      <c r="M81" s="6"/>
      <c r="N81" s="5" t="s">
        <v>83</v>
      </c>
      <c r="O81" s="5" t="s">
        <v>83</v>
      </c>
      <c r="P81" s="5" t="s">
        <v>83</v>
      </c>
      <c r="Q81" s="5" t="s">
        <v>83</v>
      </c>
    </row>
    <row r="82" ht="57" customHeight="1" spans="1:17">
      <c r="A82" s="1" t="s">
        <v>457</v>
      </c>
      <c r="B82" s="1" t="s">
        <v>47</v>
      </c>
      <c r="C82" s="1" t="s">
        <v>399</v>
      </c>
      <c r="D82" s="1" t="s">
        <v>458</v>
      </c>
      <c r="E82" s="1" t="s">
        <v>15</v>
      </c>
      <c r="F82" s="1" t="s">
        <v>401</v>
      </c>
      <c r="G82" s="1" t="s">
        <v>459</v>
      </c>
      <c r="H82" s="1" t="s">
        <v>460</v>
      </c>
      <c r="I82" s="1" t="s">
        <v>461</v>
      </c>
      <c r="J82" s="1" t="s">
        <v>82</v>
      </c>
      <c r="K82" s="5" t="s">
        <v>14</v>
      </c>
      <c r="L82" s="5" t="s">
        <v>83</v>
      </c>
      <c r="M82" s="6"/>
      <c r="N82" s="5" t="s">
        <v>83</v>
      </c>
      <c r="O82" s="5" t="s">
        <v>83</v>
      </c>
      <c r="P82" s="5" t="s">
        <v>83</v>
      </c>
      <c r="Q82" s="5" t="s">
        <v>83</v>
      </c>
    </row>
    <row r="83" ht="57" customHeight="1" spans="1:17">
      <c r="A83" s="1" t="s">
        <v>462</v>
      </c>
      <c r="B83" s="1" t="s">
        <v>47</v>
      </c>
      <c r="C83" s="1" t="s">
        <v>399</v>
      </c>
      <c r="D83" s="1" t="s">
        <v>463</v>
      </c>
      <c r="E83" s="1" t="s">
        <v>15</v>
      </c>
      <c r="F83" s="1" t="s">
        <v>401</v>
      </c>
      <c r="G83" s="1" t="s">
        <v>464</v>
      </c>
      <c r="H83" s="1" t="s">
        <v>465</v>
      </c>
      <c r="I83" s="1" t="s">
        <v>466</v>
      </c>
      <c r="J83" s="1" t="s">
        <v>82</v>
      </c>
      <c r="K83" s="5" t="s">
        <v>14</v>
      </c>
      <c r="L83" s="5" t="s">
        <v>83</v>
      </c>
      <c r="M83" s="6"/>
      <c r="N83" s="5" t="s">
        <v>83</v>
      </c>
      <c r="O83" s="5" t="s">
        <v>83</v>
      </c>
      <c r="P83" s="5" t="s">
        <v>83</v>
      </c>
      <c r="Q83" s="5" t="s">
        <v>83</v>
      </c>
    </row>
    <row r="84" ht="57" customHeight="1" spans="1:17">
      <c r="A84" s="1" t="s">
        <v>467</v>
      </c>
      <c r="B84" s="1" t="s">
        <v>47</v>
      </c>
      <c r="C84" s="1" t="s">
        <v>399</v>
      </c>
      <c r="D84" s="1" t="s">
        <v>468</v>
      </c>
      <c r="E84" s="1" t="s">
        <v>15</v>
      </c>
      <c r="F84" s="1" t="s">
        <v>401</v>
      </c>
      <c r="G84" s="1" t="s">
        <v>469</v>
      </c>
      <c r="H84" s="1" t="s">
        <v>470</v>
      </c>
      <c r="I84" s="1" t="s">
        <v>471</v>
      </c>
      <c r="J84" s="1" t="s">
        <v>82</v>
      </c>
      <c r="K84" s="5" t="s">
        <v>14</v>
      </c>
      <c r="L84" s="5" t="s">
        <v>83</v>
      </c>
      <c r="M84" s="6"/>
      <c r="N84" s="5" t="s">
        <v>83</v>
      </c>
      <c r="O84" s="5" t="s">
        <v>83</v>
      </c>
      <c r="P84" s="5" t="s">
        <v>83</v>
      </c>
      <c r="Q84" s="5" t="s">
        <v>83</v>
      </c>
    </row>
    <row r="85" ht="57" customHeight="1" spans="1:17">
      <c r="A85" s="1" t="s">
        <v>472</v>
      </c>
      <c r="B85" s="1" t="s">
        <v>47</v>
      </c>
      <c r="C85" s="1" t="s">
        <v>399</v>
      </c>
      <c r="D85" s="1" t="s">
        <v>473</v>
      </c>
      <c r="E85" s="1" t="s">
        <v>11</v>
      </c>
      <c r="F85" s="1" t="s">
        <v>401</v>
      </c>
      <c r="G85" s="1" t="s">
        <v>474</v>
      </c>
      <c r="H85" s="1" t="s">
        <v>475</v>
      </c>
      <c r="I85" s="1" t="s">
        <v>476</v>
      </c>
      <c r="J85" s="1" t="s">
        <v>82</v>
      </c>
      <c r="K85" s="5" t="s">
        <v>14</v>
      </c>
      <c r="L85" s="5" t="s">
        <v>83</v>
      </c>
      <c r="M85" s="6"/>
      <c r="N85" s="5" t="s">
        <v>83</v>
      </c>
      <c r="O85" s="5" t="s">
        <v>83</v>
      </c>
      <c r="P85" s="5" t="s">
        <v>83</v>
      </c>
      <c r="Q85" s="5" t="s">
        <v>83</v>
      </c>
    </row>
    <row r="86" ht="57" customHeight="1" spans="1:17">
      <c r="A86" s="1" t="s">
        <v>477</v>
      </c>
      <c r="B86" s="1" t="s">
        <v>47</v>
      </c>
      <c r="C86" s="1" t="s">
        <v>399</v>
      </c>
      <c r="D86" s="1" t="s">
        <v>478</v>
      </c>
      <c r="E86" s="1" t="s">
        <v>15</v>
      </c>
      <c r="F86" s="1" t="s">
        <v>401</v>
      </c>
      <c r="G86" s="1" t="s">
        <v>479</v>
      </c>
      <c r="H86" s="1" t="s">
        <v>480</v>
      </c>
      <c r="I86" s="1" t="s">
        <v>481</v>
      </c>
      <c r="J86" s="1" t="s">
        <v>482</v>
      </c>
      <c r="K86" s="5" t="s">
        <v>14</v>
      </c>
      <c r="L86" s="5" t="s">
        <v>83</v>
      </c>
      <c r="M86" s="6"/>
      <c r="N86" s="5" t="s">
        <v>83</v>
      </c>
      <c r="O86" s="5" t="s">
        <v>83</v>
      </c>
      <c r="P86" s="5" t="s">
        <v>83</v>
      </c>
      <c r="Q86" s="5" t="s">
        <v>83</v>
      </c>
    </row>
    <row r="87" ht="57" customHeight="1" spans="1:17">
      <c r="A87" s="1" t="s">
        <v>483</v>
      </c>
      <c r="B87" s="1" t="s">
        <v>47</v>
      </c>
      <c r="C87" s="1" t="s">
        <v>399</v>
      </c>
      <c r="D87" s="1" t="s">
        <v>484</v>
      </c>
      <c r="E87" s="1" t="s">
        <v>15</v>
      </c>
      <c r="F87" s="1" t="s">
        <v>401</v>
      </c>
      <c r="G87" s="1" t="s">
        <v>485</v>
      </c>
      <c r="H87" s="1" t="s">
        <v>480</v>
      </c>
      <c r="I87" s="1" t="s">
        <v>486</v>
      </c>
      <c r="J87" s="1" t="s">
        <v>482</v>
      </c>
      <c r="K87" s="5" t="s">
        <v>14</v>
      </c>
      <c r="L87" s="5" t="s">
        <v>83</v>
      </c>
      <c r="M87" s="6"/>
      <c r="N87" s="5" t="s">
        <v>83</v>
      </c>
      <c r="O87" s="5" t="s">
        <v>83</v>
      </c>
      <c r="P87" s="5" t="s">
        <v>83</v>
      </c>
      <c r="Q87" s="5" t="s">
        <v>83</v>
      </c>
    </row>
    <row r="88" ht="57" customHeight="1" spans="1:17">
      <c r="A88" s="1" t="s">
        <v>487</v>
      </c>
      <c r="B88" s="1" t="s">
        <v>47</v>
      </c>
      <c r="C88" s="1" t="s">
        <v>399</v>
      </c>
      <c r="D88" s="1" t="s">
        <v>488</v>
      </c>
      <c r="E88" s="1" t="s">
        <v>15</v>
      </c>
      <c r="F88" s="1" t="s">
        <v>401</v>
      </c>
      <c r="G88" s="1" t="s">
        <v>489</v>
      </c>
      <c r="H88" s="1" t="s">
        <v>480</v>
      </c>
      <c r="I88" s="1" t="s">
        <v>486</v>
      </c>
      <c r="J88" s="1" t="s">
        <v>482</v>
      </c>
      <c r="K88" s="5" t="s">
        <v>14</v>
      </c>
      <c r="L88" s="5" t="s">
        <v>83</v>
      </c>
      <c r="M88" s="6"/>
      <c r="N88" s="5" t="s">
        <v>83</v>
      </c>
      <c r="O88" s="5" t="s">
        <v>83</v>
      </c>
      <c r="P88" s="5" t="s">
        <v>83</v>
      </c>
      <c r="Q88" s="5" t="s">
        <v>83</v>
      </c>
    </row>
    <row r="89" ht="57" customHeight="1" spans="1:17">
      <c r="A89" s="1" t="s">
        <v>490</v>
      </c>
      <c r="B89" s="1" t="s">
        <v>47</v>
      </c>
      <c r="C89" s="1" t="s">
        <v>399</v>
      </c>
      <c r="D89" s="1" t="s">
        <v>491</v>
      </c>
      <c r="E89" s="1" t="s">
        <v>15</v>
      </c>
      <c r="F89" s="1" t="s">
        <v>401</v>
      </c>
      <c r="G89" s="1" t="s">
        <v>492</v>
      </c>
      <c r="H89" s="1" t="s">
        <v>480</v>
      </c>
      <c r="I89" s="1" t="s">
        <v>481</v>
      </c>
      <c r="J89" s="1" t="s">
        <v>482</v>
      </c>
      <c r="K89" s="5" t="s">
        <v>14</v>
      </c>
      <c r="L89" s="5" t="s">
        <v>83</v>
      </c>
      <c r="M89" s="6"/>
      <c r="N89" s="5" t="s">
        <v>83</v>
      </c>
      <c r="O89" s="5" t="s">
        <v>83</v>
      </c>
      <c r="P89" s="5" t="s">
        <v>83</v>
      </c>
      <c r="Q89" s="5" t="s">
        <v>83</v>
      </c>
    </row>
    <row r="90" ht="57" customHeight="1" spans="1:17">
      <c r="A90" s="1" t="s">
        <v>493</v>
      </c>
      <c r="B90" s="1" t="s">
        <v>47</v>
      </c>
      <c r="C90" s="1" t="s">
        <v>399</v>
      </c>
      <c r="D90" s="1" t="s">
        <v>494</v>
      </c>
      <c r="E90" s="1" t="s">
        <v>15</v>
      </c>
      <c r="F90" s="1" t="s">
        <v>401</v>
      </c>
      <c r="G90" s="1" t="s">
        <v>495</v>
      </c>
      <c r="H90" s="1" t="s">
        <v>496</v>
      </c>
      <c r="I90" s="1" t="s">
        <v>497</v>
      </c>
      <c r="J90" s="1" t="s">
        <v>82</v>
      </c>
      <c r="K90" s="5" t="s">
        <v>14</v>
      </c>
      <c r="L90" s="5" t="s">
        <v>83</v>
      </c>
      <c r="M90" s="6"/>
      <c r="N90" s="5" t="s">
        <v>83</v>
      </c>
      <c r="O90" s="5" t="s">
        <v>83</v>
      </c>
      <c r="P90" s="5" t="s">
        <v>83</v>
      </c>
      <c r="Q90" s="5" t="s">
        <v>83</v>
      </c>
    </row>
    <row r="91" ht="57" customHeight="1" spans="1:17">
      <c r="A91" s="1" t="s">
        <v>498</v>
      </c>
      <c r="B91" s="1" t="s">
        <v>47</v>
      </c>
      <c r="C91" s="1" t="s">
        <v>399</v>
      </c>
      <c r="D91" s="1" t="s">
        <v>499</v>
      </c>
      <c r="E91" s="1" t="s">
        <v>11</v>
      </c>
      <c r="F91" s="1" t="s">
        <v>401</v>
      </c>
      <c r="G91" s="1" t="s">
        <v>500</v>
      </c>
      <c r="H91" s="1" t="s">
        <v>501</v>
      </c>
      <c r="I91" s="1" t="s">
        <v>502</v>
      </c>
      <c r="J91" s="1" t="s">
        <v>82</v>
      </c>
      <c r="K91" s="5" t="s">
        <v>14</v>
      </c>
      <c r="L91" s="5" t="s">
        <v>83</v>
      </c>
      <c r="M91" s="6"/>
      <c r="N91" s="5" t="s">
        <v>83</v>
      </c>
      <c r="O91" s="5" t="s">
        <v>83</v>
      </c>
      <c r="P91" s="5" t="s">
        <v>83</v>
      </c>
      <c r="Q91" s="5" t="s">
        <v>83</v>
      </c>
    </row>
    <row r="92" ht="57" customHeight="1" spans="1:17">
      <c r="A92" s="1" t="s">
        <v>503</v>
      </c>
      <c r="B92" s="1" t="s">
        <v>47</v>
      </c>
      <c r="C92" s="1" t="s">
        <v>399</v>
      </c>
      <c r="D92" s="1" t="s">
        <v>504</v>
      </c>
      <c r="E92" s="1" t="s">
        <v>15</v>
      </c>
      <c r="F92" s="1" t="s">
        <v>401</v>
      </c>
      <c r="G92" s="1" t="s">
        <v>505</v>
      </c>
      <c r="H92" s="1" t="s">
        <v>506</v>
      </c>
      <c r="I92" s="1" t="s">
        <v>507</v>
      </c>
      <c r="J92" s="1" t="s">
        <v>82</v>
      </c>
      <c r="K92" s="5" t="s">
        <v>14</v>
      </c>
      <c r="L92" s="5" t="s">
        <v>83</v>
      </c>
      <c r="M92" s="6"/>
      <c r="N92" s="5" t="s">
        <v>83</v>
      </c>
      <c r="O92" s="5" t="s">
        <v>83</v>
      </c>
      <c r="P92" s="5" t="s">
        <v>83</v>
      </c>
      <c r="Q92" s="5" t="s">
        <v>83</v>
      </c>
    </row>
    <row r="93" ht="57" customHeight="1" spans="1:17">
      <c r="A93" s="1" t="s">
        <v>508</v>
      </c>
      <c r="B93" s="1" t="s">
        <v>47</v>
      </c>
      <c r="C93" s="1" t="s">
        <v>399</v>
      </c>
      <c r="D93" s="1" t="s">
        <v>509</v>
      </c>
      <c r="E93" s="1" t="s">
        <v>11</v>
      </c>
      <c r="F93" s="1" t="s">
        <v>401</v>
      </c>
      <c r="G93" s="1" t="s">
        <v>510</v>
      </c>
      <c r="H93" s="1" t="s">
        <v>511</v>
      </c>
      <c r="I93" s="1" t="s">
        <v>512</v>
      </c>
      <c r="J93" s="1" t="s">
        <v>82</v>
      </c>
      <c r="K93" s="5" t="s">
        <v>14</v>
      </c>
      <c r="L93" s="5" t="s">
        <v>83</v>
      </c>
      <c r="M93" s="6"/>
      <c r="N93" s="5" t="s">
        <v>83</v>
      </c>
      <c r="O93" s="5" t="s">
        <v>83</v>
      </c>
      <c r="P93" s="5" t="s">
        <v>83</v>
      </c>
      <c r="Q93" s="5" t="s">
        <v>83</v>
      </c>
    </row>
    <row r="94" ht="57" customHeight="1" spans="1:17">
      <c r="A94" s="1" t="s">
        <v>513</v>
      </c>
      <c r="B94" s="1" t="s">
        <v>49</v>
      </c>
      <c r="C94" s="1" t="s">
        <v>514</v>
      </c>
      <c r="D94" s="1" t="s">
        <v>515</v>
      </c>
      <c r="E94" s="1" t="s">
        <v>11</v>
      </c>
      <c r="F94" s="1" t="s">
        <v>516</v>
      </c>
      <c r="G94" s="1" t="s">
        <v>517</v>
      </c>
      <c r="H94" s="1" t="s">
        <v>518</v>
      </c>
      <c r="I94" s="1" t="s">
        <v>519</v>
      </c>
      <c r="J94" s="1" t="s">
        <v>82</v>
      </c>
      <c r="K94" s="5" t="s">
        <v>14</v>
      </c>
      <c r="L94" s="5" t="s">
        <v>83</v>
      </c>
      <c r="M94" s="6"/>
      <c r="N94" s="5" t="s">
        <v>83</v>
      </c>
      <c r="O94" s="5" t="s">
        <v>83</v>
      </c>
      <c r="P94" s="5" t="s">
        <v>83</v>
      </c>
      <c r="Q94" s="5" t="s">
        <v>83</v>
      </c>
    </row>
    <row r="95" ht="42" customHeight="1" spans="1:17">
      <c r="A95" s="1" t="s">
        <v>520</v>
      </c>
      <c r="B95" s="1" t="s">
        <v>49</v>
      </c>
      <c r="C95" s="1" t="s">
        <v>514</v>
      </c>
      <c r="D95" s="1" t="s">
        <v>521</v>
      </c>
      <c r="E95" s="1" t="s">
        <v>11</v>
      </c>
      <c r="F95" s="1" t="s">
        <v>516</v>
      </c>
      <c r="G95" s="1" t="s">
        <v>522</v>
      </c>
      <c r="H95" s="1" t="s">
        <v>523</v>
      </c>
      <c r="I95" s="1" t="s">
        <v>524</v>
      </c>
      <c r="J95" s="1" t="s">
        <v>82</v>
      </c>
      <c r="K95" s="5" t="s">
        <v>14</v>
      </c>
      <c r="L95" s="5" t="s">
        <v>83</v>
      </c>
      <c r="M95" s="6"/>
      <c r="N95" s="5" t="s">
        <v>83</v>
      </c>
      <c r="O95" s="5" t="s">
        <v>83</v>
      </c>
      <c r="P95" s="5" t="s">
        <v>83</v>
      </c>
      <c r="Q95" s="5" t="s">
        <v>83</v>
      </c>
    </row>
    <row r="96" ht="42" customHeight="1" spans="1:17">
      <c r="A96" s="1" t="s">
        <v>525</v>
      </c>
      <c r="B96" s="1" t="s">
        <v>49</v>
      </c>
      <c r="C96" s="1" t="s">
        <v>514</v>
      </c>
      <c r="D96" s="1" t="s">
        <v>526</v>
      </c>
      <c r="E96" s="1" t="s">
        <v>11</v>
      </c>
      <c r="F96" s="1" t="s">
        <v>516</v>
      </c>
      <c r="G96" s="1" t="s">
        <v>527</v>
      </c>
      <c r="H96" s="1" t="s">
        <v>528</v>
      </c>
      <c r="I96" s="1" t="s">
        <v>529</v>
      </c>
      <c r="J96" s="1" t="s">
        <v>82</v>
      </c>
      <c r="K96" s="5" t="s">
        <v>14</v>
      </c>
      <c r="L96" s="5" t="s">
        <v>83</v>
      </c>
      <c r="M96" s="6"/>
      <c r="N96" s="5" t="s">
        <v>83</v>
      </c>
      <c r="O96" s="5" t="s">
        <v>83</v>
      </c>
      <c r="P96" s="5" t="s">
        <v>83</v>
      </c>
      <c r="Q96" s="5" t="s">
        <v>83</v>
      </c>
    </row>
    <row r="97" ht="42" customHeight="1" spans="1:17">
      <c r="A97" s="1" t="s">
        <v>530</v>
      </c>
      <c r="B97" s="1" t="s">
        <v>49</v>
      </c>
      <c r="C97" s="1" t="s">
        <v>514</v>
      </c>
      <c r="D97" s="1" t="s">
        <v>531</v>
      </c>
      <c r="E97" s="1" t="s">
        <v>11</v>
      </c>
      <c r="F97" s="1" t="s">
        <v>516</v>
      </c>
      <c r="G97" s="1" t="s">
        <v>532</v>
      </c>
      <c r="H97" s="1" t="s">
        <v>533</v>
      </c>
      <c r="I97" s="1" t="s">
        <v>534</v>
      </c>
      <c r="J97" s="1" t="s">
        <v>82</v>
      </c>
      <c r="K97" s="5" t="s">
        <v>14</v>
      </c>
      <c r="L97" s="5" t="s">
        <v>83</v>
      </c>
      <c r="M97" s="6"/>
      <c r="N97" s="5" t="s">
        <v>83</v>
      </c>
      <c r="O97" s="5" t="s">
        <v>83</v>
      </c>
      <c r="P97" s="5" t="s">
        <v>83</v>
      </c>
      <c r="Q97" s="5" t="s">
        <v>83</v>
      </c>
    </row>
    <row r="98" ht="57" customHeight="1" spans="1:17">
      <c r="A98" s="1" t="s">
        <v>535</v>
      </c>
      <c r="B98" s="1" t="s">
        <v>49</v>
      </c>
      <c r="C98" s="1" t="s">
        <v>514</v>
      </c>
      <c r="D98" s="1" t="s">
        <v>536</v>
      </c>
      <c r="E98" s="1" t="s">
        <v>15</v>
      </c>
      <c r="F98" s="1" t="s">
        <v>516</v>
      </c>
      <c r="G98" s="1" t="s">
        <v>537</v>
      </c>
      <c r="H98" s="1" t="s">
        <v>538</v>
      </c>
      <c r="I98" s="1" t="s">
        <v>539</v>
      </c>
      <c r="J98" s="1" t="s">
        <v>82</v>
      </c>
      <c r="K98" s="5" t="s">
        <v>14</v>
      </c>
      <c r="L98" s="5" t="s">
        <v>83</v>
      </c>
      <c r="M98" s="6"/>
      <c r="N98" s="5" t="s">
        <v>83</v>
      </c>
      <c r="O98" s="5" t="s">
        <v>83</v>
      </c>
      <c r="P98" s="5" t="s">
        <v>83</v>
      </c>
      <c r="Q98" s="5" t="s">
        <v>83</v>
      </c>
    </row>
    <row r="99" ht="57" customHeight="1" spans="1:17">
      <c r="A99" s="1" t="s">
        <v>540</v>
      </c>
      <c r="B99" s="1" t="s">
        <v>49</v>
      </c>
      <c r="C99" s="1" t="s">
        <v>514</v>
      </c>
      <c r="D99" s="1" t="s">
        <v>541</v>
      </c>
      <c r="E99" s="1" t="s">
        <v>15</v>
      </c>
      <c r="F99" s="1" t="s">
        <v>516</v>
      </c>
      <c r="G99" s="1" t="s">
        <v>542</v>
      </c>
      <c r="H99" s="1" t="s">
        <v>543</v>
      </c>
      <c r="I99" s="1" t="s">
        <v>544</v>
      </c>
      <c r="J99" s="1" t="s">
        <v>82</v>
      </c>
      <c r="K99" s="5" t="s">
        <v>14</v>
      </c>
      <c r="L99" s="5" t="s">
        <v>83</v>
      </c>
      <c r="M99" s="6"/>
      <c r="N99" s="5" t="s">
        <v>83</v>
      </c>
      <c r="O99" s="5" t="s">
        <v>83</v>
      </c>
      <c r="P99" s="5" t="s">
        <v>83</v>
      </c>
      <c r="Q99" s="5" t="s">
        <v>545</v>
      </c>
    </row>
    <row r="100" ht="57" customHeight="1" spans="1:17">
      <c r="A100" s="1" t="s">
        <v>546</v>
      </c>
      <c r="B100" s="1" t="s">
        <v>49</v>
      </c>
      <c r="C100" s="1" t="s">
        <v>514</v>
      </c>
      <c r="D100" s="1" t="s">
        <v>547</v>
      </c>
      <c r="E100" s="1" t="s">
        <v>15</v>
      </c>
      <c r="F100" s="1" t="s">
        <v>516</v>
      </c>
      <c r="G100" s="1" t="s">
        <v>548</v>
      </c>
      <c r="H100" s="1" t="s">
        <v>549</v>
      </c>
      <c r="I100" s="1" t="s">
        <v>550</v>
      </c>
      <c r="J100" s="1" t="s">
        <v>551</v>
      </c>
      <c r="K100" s="5" t="s">
        <v>14</v>
      </c>
      <c r="L100" s="5" t="s">
        <v>83</v>
      </c>
      <c r="M100" s="6"/>
      <c r="N100" s="5" t="s">
        <v>83</v>
      </c>
      <c r="O100" s="5" t="s">
        <v>83</v>
      </c>
      <c r="P100" s="5" t="s">
        <v>83</v>
      </c>
      <c r="Q100" s="5" t="s">
        <v>83</v>
      </c>
    </row>
    <row r="101" ht="57" customHeight="1" spans="1:17">
      <c r="A101" s="1" t="s">
        <v>552</v>
      </c>
      <c r="B101" s="1" t="s">
        <v>49</v>
      </c>
      <c r="C101" s="1" t="s">
        <v>553</v>
      </c>
      <c r="D101" s="1" t="s">
        <v>554</v>
      </c>
      <c r="E101" s="1" t="s">
        <v>11</v>
      </c>
      <c r="F101" s="1" t="s">
        <v>555</v>
      </c>
      <c r="G101" s="1" t="s">
        <v>556</v>
      </c>
      <c r="H101" s="1" t="s">
        <v>557</v>
      </c>
      <c r="I101" s="1" t="s">
        <v>558</v>
      </c>
      <c r="J101" s="1" t="s">
        <v>559</v>
      </c>
      <c r="K101" s="5" t="s">
        <v>14</v>
      </c>
      <c r="L101" s="5" t="s">
        <v>83</v>
      </c>
      <c r="M101" s="6"/>
      <c r="N101" s="5" t="s">
        <v>83</v>
      </c>
      <c r="O101" s="5" t="s">
        <v>83</v>
      </c>
      <c r="P101" s="5" t="s">
        <v>83</v>
      </c>
      <c r="Q101" s="5" t="s">
        <v>83</v>
      </c>
    </row>
    <row r="102" ht="57" customHeight="1" spans="1:17">
      <c r="A102" s="1" t="s">
        <v>560</v>
      </c>
      <c r="B102" s="1" t="s">
        <v>49</v>
      </c>
      <c r="C102" s="1" t="s">
        <v>553</v>
      </c>
      <c r="D102" s="1" t="s">
        <v>561</v>
      </c>
      <c r="E102" s="1" t="s">
        <v>11</v>
      </c>
      <c r="F102" s="1" t="s">
        <v>555</v>
      </c>
      <c r="G102" s="1" t="s">
        <v>562</v>
      </c>
      <c r="H102" s="1" t="s">
        <v>563</v>
      </c>
      <c r="I102" s="1" t="s">
        <v>558</v>
      </c>
      <c r="J102" s="1" t="s">
        <v>559</v>
      </c>
      <c r="K102" s="5" t="s">
        <v>14</v>
      </c>
      <c r="L102" s="5" t="s">
        <v>83</v>
      </c>
      <c r="M102" s="6"/>
      <c r="N102" s="5" t="s">
        <v>83</v>
      </c>
      <c r="O102" s="5" t="s">
        <v>83</v>
      </c>
      <c r="P102" s="5" t="s">
        <v>83</v>
      </c>
      <c r="Q102" s="5" t="s">
        <v>83</v>
      </c>
    </row>
    <row r="103" ht="57" customHeight="1" spans="1:17">
      <c r="A103" s="1" t="s">
        <v>564</v>
      </c>
      <c r="B103" s="1" t="s">
        <v>49</v>
      </c>
      <c r="C103" s="1" t="s">
        <v>553</v>
      </c>
      <c r="D103" s="1" t="s">
        <v>565</v>
      </c>
      <c r="E103" s="1" t="s">
        <v>11</v>
      </c>
      <c r="F103" s="1" t="s">
        <v>555</v>
      </c>
      <c r="G103" s="1" t="s">
        <v>566</v>
      </c>
      <c r="H103" s="1" t="s">
        <v>567</v>
      </c>
      <c r="I103" s="1" t="s">
        <v>558</v>
      </c>
      <c r="J103" s="1" t="s">
        <v>559</v>
      </c>
      <c r="K103" s="5" t="s">
        <v>14</v>
      </c>
      <c r="L103" s="5" t="s">
        <v>83</v>
      </c>
      <c r="M103" s="6"/>
      <c r="N103" s="5" t="s">
        <v>83</v>
      </c>
      <c r="O103" s="5" t="s">
        <v>83</v>
      </c>
      <c r="P103" s="5" t="s">
        <v>83</v>
      </c>
      <c r="Q103" s="5" t="s">
        <v>83</v>
      </c>
    </row>
    <row r="104" ht="57" customHeight="1" spans="1:17">
      <c r="A104" s="1" t="s">
        <v>568</v>
      </c>
      <c r="B104" s="1" t="s">
        <v>49</v>
      </c>
      <c r="C104" s="1" t="s">
        <v>553</v>
      </c>
      <c r="D104" s="1" t="s">
        <v>569</v>
      </c>
      <c r="E104" s="1" t="s">
        <v>11</v>
      </c>
      <c r="F104" s="1" t="s">
        <v>555</v>
      </c>
      <c r="G104" s="1" t="s">
        <v>570</v>
      </c>
      <c r="H104" s="1" t="s">
        <v>571</v>
      </c>
      <c r="I104" s="1" t="s">
        <v>558</v>
      </c>
      <c r="J104" s="1" t="s">
        <v>559</v>
      </c>
      <c r="K104" s="5" t="s">
        <v>14</v>
      </c>
      <c r="L104" s="5" t="s">
        <v>83</v>
      </c>
      <c r="M104" s="6"/>
      <c r="N104" s="5" t="s">
        <v>83</v>
      </c>
      <c r="O104" s="5" t="s">
        <v>83</v>
      </c>
      <c r="P104" s="5" t="s">
        <v>83</v>
      </c>
      <c r="Q104" s="5" t="s">
        <v>83</v>
      </c>
    </row>
    <row r="105" ht="57" customHeight="1" spans="1:17">
      <c r="A105" s="1" t="s">
        <v>572</v>
      </c>
      <c r="B105" s="1" t="s">
        <v>49</v>
      </c>
      <c r="C105" s="1" t="s">
        <v>553</v>
      </c>
      <c r="D105" s="1" t="s">
        <v>573</v>
      </c>
      <c r="E105" s="1" t="s">
        <v>11</v>
      </c>
      <c r="F105" s="1" t="s">
        <v>555</v>
      </c>
      <c r="G105" s="1" t="s">
        <v>574</v>
      </c>
      <c r="H105" s="1" t="s">
        <v>575</v>
      </c>
      <c r="I105" s="1" t="s">
        <v>576</v>
      </c>
      <c r="J105" s="1" t="s">
        <v>82</v>
      </c>
      <c r="K105" s="5" t="s">
        <v>14</v>
      </c>
      <c r="L105" s="5" t="s">
        <v>83</v>
      </c>
      <c r="M105" s="6"/>
      <c r="N105" s="5" t="s">
        <v>83</v>
      </c>
      <c r="O105" s="5" t="s">
        <v>83</v>
      </c>
      <c r="P105" s="5" t="s">
        <v>83</v>
      </c>
      <c r="Q105" s="5" t="s">
        <v>83</v>
      </c>
    </row>
    <row r="106" ht="57" customHeight="1" spans="1:17">
      <c r="A106" s="1" t="s">
        <v>577</v>
      </c>
      <c r="B106" s="1" t="s">
        <v>51</v>
      </c>
      <c r="C106" s="1" t="s">
        <v>578</v>
      </c>
      <c r="D106" s="1" t="s">
        <v>579</v>
      </c>
      <c r="E106" s="1" t="s">
        <v>11</v>
      </c>
      <c r="F106" s="1" t="s">
        <v>580</v>
      </c>
      <c r="G106" s="1" t="s">
        <v>581</v>
      </c>
      <c r="H106" s="1" t="s">
        <v>582</v>
      </c>
      <c r="I106" s="1" t="s">
        <v>583</v>
      </c>
      <c r="J106" s="1" t="s">
        <v>82</v>
      </c>
      <c r="K106" s="5" t="s">
        <v>14</v>
      </c>
      <c r="L106" s="5" t="s">
        <v>83</v>
      </c>
      <c r="M106" s="6"/>
      <c r="N106" s="5" t="s">
        <v>83</v>
      </c>
      <c r="O106" s="5" t="s">
        <v>83</v>
      </c>
      <c r="P106" s="5" t="s">
        <v>83</v>
      </c>
      <c r="Q106" s="5" t="s">
        <v>83</v>
      </c>
    </row>
    <row r="107" ht="57" customHeight="1" spans="1:17">
      <c r="A107" s="1" t="s">
        <v>584</v>
      </c>
      <c r="B107" s="1" t="s">
        <v>51</v>
      </c>
      <c r="C107" s="1" t="s">
        <v>578</v>
      </c>
      <c r="D107" s="1" t="s">
        <v>585</v>
      </c>
      <c r="E107" s="1" t="s">
        <v>11</v>
      </c>
      <c r="F107" s="1" t="s">
        <v>580</v>
      </c>
      <c r="G107" s="1" t="s">
        <v>586</v>
      </c>
      <c r="H107" s="1" t="s">
        <v>587</v>
      </c>
      <c r="I107" s="1" t="s">
        <v>588</v>
      </c>
      <c r="J107" s="1" t="s">
        <v>82</v>
      </c>
      <c r="K107" s="5" t="s">
        <v>14</v>
      </c>
      <c r="L107" s="5" t="s">
        <v>83</v>
      </c>
      <c r="M107" s="6"/>
      <c r="N107" s="5" t="s">
        <v>83</v>
      </c>
      <c r="O107" s="5" t="s">
        <v>83</v>
      </c>
      <c r="P107" s="5" t="s">
        <v>83</v>
      </c>
      <c r="Q107" s="5" t="s">
        <v>83</v>
      </c>
    </row>
    <row r="108" ht="57" customHeight="1" spans="1:17">
      <c r="A108" s="1" t="s">
        <v>589</v>
      </c>
      <c r="B108" s="1" t="s">
        <v>51</v>
      </c>
      <c r="C108" s="1" t="s">
        <v>578</v>
      </c>
      <c r="D108" s="1" t="s">
        <v>590</v>
      </c>
      <c r="E108" s="1" t="s">
        <v>11</v>
      </c>
      <c r="F108" s="1" t="s">
        <v>580</v>
      </c>
      <c r="G108" s="1" t="s">
        <v>591</v>
      </c>
      <c r="H108" s="1" t="s">
        <v>592</v>
      </c>
      <c r="I108" s="1" t="s">
        <v>593</v>
      </c>
      <c r="J108" s="1" t="s">
        <v>82</v>
      </c>
      <c r="K108" s="5" t="s">
        <v>14</v>
      </c>
      <c r="L108" s="5" t="s">
        <v>83</v>
      </c>
      <c r="M108" s="6"/>
      <c r="N108" s="5" t="s">
        <v>83</v>
      </c>
      <c r="O108" s="5" t="s">
        <v>83</v>
      </c>
      <c r="P108" s="5" t="s">
        <v>83</v>
      </c>
      <c r="Q108" s="5" t="s">
        <v>83</v>
      </c>
    </row>
    <row r="109" ht="57" customHeight="1" spans="1:17">
      <c r="A109" s="1" t="s">
        <v>594</v>
      </c>
      <c r="B109" s="1" t="s">
        <v>51</v>
      </c>
      <c r="C109" s="1" t="s">
        <v>578</v>
      </c>
      <c r="D109" s="1" t="s">
        <v>595</v>
      </c>
      <c r="E109" s="1" t="s">
        <v>11</v>
      </c>
      <c r="F109" s="1" t="s">
        <v>580</v>
      </c>
      <c r="G109" s="1" t="s">
        <v>596</v>
      </c>
      <c r="H109" s="1" t="s">
        <v>597</v>
      </c>
      <c r="I109" s="1" t="s">
        <v>598</v>
      </c>
      <c r="J109" s="1" t="s">
        <v>82</v>
      </c>
      <c r="K109" s="5" t="s">
        <v>14</v>
      </c>
      <c r="L109" s="5" t="s">
        <v>83</v>
      </c>
      <c r="M109" s="6"/>
      <c r="N109" s="5" t="s">
        <v>83</v>
      </c>
      <c r="O109" s="5" t="s">
        <v>83</v>
      </c>
      <c r="P109" s="5" t="s">
        <v>83</v>
      </c>
      <c r="Q109" s="5" t="s">
        <v>83</v>
      </c>
    </row>
    <row r="110" ht="57" customHeight="1" spans="1:17">
      <c r="A110" s="1" t="s">
        <v>599</v>
      </c>
      <c r="B110" s="1" t="s">
        <v>51</v>
      </c>
      <c r="C110" s="1" t="s">
        <v>578</v>
      </c>
      <c r="D110" s="1" t="s">
        <v>600</v>
      </c>
      <c r="E110" s="1" t="s">
        <v>15</v>
      </c>
      <c r="F110" s="1" t="s">
        <v>580</v>
      </c>
      <c r="G110" s="1" t="s">
        <v>601</v>
      </c>
      <c r="H110" s="1" t="s">
        <v>602</v>
      </c>
      <c r="I110" s="1" t="s">
        <v>603</v>
      </c>
      <c r="J110" s="1" t="s">
        <v>82</v>
      </c>
      <c r="K110" s="5" t="s">
        <v>14</v>
      </c>
      <c r="L110" s="5" t="s">
        <v>83</v>
      </c>
      <c r="M110" s="6"/>
      <c r="N110" s="5" t="s">
        <v>83</v>
      </c>
      <c r="O110" s="5" t="s">
        <v>83</v>
      </c>
      <c r="P110" s="5" t="s">
        <v>83</v>
      </c>
      <c r="Q110" s="5" t="s">
        <v>83</v>
      </c>
    </row>
    <row r="111" ht="57" customHeight="1" spans="1:17">
      <c r="A111" s="1" t="s">
        <v>604</v>
      </c>
      <c r="B111" s="1" t="s">
        <v>51</v>
      </c>
      <c r="C111" s="1" t="s">
        <v>578</v>
      </c>
      <c r="D111" s="1" t="s">
        <v>605</v>
      </c>
      <c r="E111" s="1" t="s">
        <v>15</v>
      </c>
      <c r="F111" s="1" t="s">
        <v>580</v>
      </c>
      <c r="G111" s="1" t="s">
        <v>606</v>
      </c>
      <c r="H111" s="1" t="s">
        <v>607</v>
      </c>
      <c r="I111" s="1" t="s">
        <v>608</v>
      </c>
      <c r="J111" s="1" t="s">
        <v>82</v>
      </c>
      <c r="K111" s="5" t="s">
        <v>14</v>
      </c>
      <c r="L111" s="5" t="s">
        <v>83</v>
      </c>
      <c r="M111" s="6"/>
      <c r="N111" s="5" t="s">
        <v>83</v>
      </c>
      <c r="O111" s="5" t="s">
        <v>83</v>
      </c>
      <c r="P111" s="5" t="s">
        <v>83</v>
      </c>
      <c r="Q111" s="5" t="s">
        <v>83</v>
      </c>
    </row>
    <row r="112" ht="57" customHeight="1" spans="1:17">
      <c r="A112" s="1" t="s">
        <v>609</v>
      </c>
      <c r="B112" s="1" t="s">
        <v>51</v>
      </c>
      <c r="C112" s="1" t="s">
        <v>578</v>
      </c>
      <c r="D112" s="1" t="s">
        <v>610</v>
      </c>
      <c r="E112" s="1" t="s">
        <v>15</v>
      </c>
      <c r="F112" s="1" t="s">
        <v>580</v>
      </c>
      <c r="G112" s="1" t="s">
        <v>611</v>
      </c>
      <c r="H112" s="1" t="s">
        <v>612</v>
      </c>
      <c r="I112" s="1" t="s">
        <v>613</v>
      </c>
      <c r="J112" s="1" t="s">
        <v>82</v>
      </c>
      <c r="K112" s="5" t="s">
        <v>14</v>
      </c>
      <c r="L112" s="5" t="s">
        <v>83</v>
      </c>
      <c r="M112" s="6"/>
      <c r="N112" s="5" t="s">
        <v>83</v>
      </c>
      <c r="O112" s="5" t="s">
        <v>83</v>
      </c>
      <c r="P112" s="5" t="s">
        <v>83</v>
      </c>
      <c r="Q112" s="5" t="s">
        <v>83</v>
      </c>
    </row>
    <row r="113" ht="57" customHeight="1" spans="1:17">
      <c r="A113" s="1" t="s">
        <v>614</v>
      </c>
      <c r="B113" s="1" t="s">
        <v>51</v>
      </c>
      <c r="C113" s="1" t="s">
        <v>578</v>
      </c>
      <c r="D113" s="1" t="s">
        <v>615</v>
      </c>
      <c r="E113" s="1" t="s">
        <v>15</v>
      </c>
      <c r="F113" s="1" t="s">
        <v>580</v>
      </c>
      <c r="G113" s="1" t="s">
        <v>616</v>
      </c>
      <c r="H113" s="1" t="s">
        <v>617</v>
      </c>
      <c r="I113" s="1" t="s">
        <v>618</v>
      </c>
      <c r="J113" s="1" t="s">
        <v>82</v>
      </c>
      <c r="K113" s="5" t="s">
        <v>14</v>
      </c>
      <c r="L113" s="5" t="s">
        <v>83</v>
      </c>
      <c r="M113" s="6"/>
      <c r="N113" s="5" t="s">
        <v>83</v>
      </c>
      <c r="O113" s="5" t="s">
        <v>83</v>
      </c>
      <c r="P113" s="5" t="s">
        <v>83</v>
      </c>
      <c r="Q113" s="5" t="s">
        <v>83</v>
      </c>
    </row>
    <row r="114" ht="57" customHeight="1" spans="1:17">
      <c r="A114" s="1" t="s">
        <v>619</v>
      </c>
      <c r="B114" s="1" t="s">
        <v>51</v>
      </c>
      <c r="C114" s="1" t="s">
        <v>578</v>
      </c>
      <c r="D114" s="1" t="s">
        <v>620</v>
      </c>
      <c r="E114" s="1" t="s">
        <v>11</v>
      </c>
      <c r="F114" s="1" t="s">
        <v>580</v>
      </c>
      <c r="G114" s="1" t="s">
        <v>621</v>
      </c>
      <c r="H114" s="1" t="s">
        <v>622</v>
      </c>
      <c r="I114" s="1" t="s">
        <v>623</v>
      </c>
      <c r="J114" s="1" t="s">
        <v>82</v>
      </c>
      <c r="K114" s="5" t="s">
        <v>14</v>
      </c>
      <c r="L114" s="5" t="s">
        <v>83</v>
      </c>
      <c r="M114" s="6"/>
      <c r="N114" s="5" t="s">
        <v>83</v>
      </c>
      <c r="O114" s="5" t="s">
        <v>83</v>
      </c>
      <c r="P114" s="5" t="s">
        <v>83</v>
      </c>
      <c r="Q114" s="5" t="s">
        <v>83</v>
      </c>
    </row>
    <row r="115" ht="87" customHeight="1" spans="1:17">
      <c r="A115" s="1" t="s">
        <v>624</v>
      </c>
      <c r="B115" s="1" t="s">
        <v>51</v>
      </c>
      <c r="C115" s="1" t="s">
        <v>578</v>
      </c>
      <c r="D115" s="1" t="s">
        <v>625</v>
      </c>
      <c r="E115" s="1" t="s">
        <v>15</v>
      </c>
      <c r="F115" s="1" t="s">
        <v>580</v>
      </c>
      <c r="G115" s="1" t="s">
        <v>626</v>
      </c>
      <c r="H115" s="1" t="s">
        <v>627</v>
      </c>
      <c r="I115" s="1" t="s">
        <v>628</v>
      </c>
      <c r="J115" s="1" t="s">
        <v>82</v>
      </c>
      <c r="K115" s="5" t="s">
        <v>14</v>
      </c>
      <c r="L115" s="5" t="s">
        <v>83</v>
      </c>
      <c r="M115" s="6"/>
      <c r="N115" s="5" t="s">
        <v>83</v>
      </c>
      <c r="O115" s="5" t="s">
        <v>83</v>
      </c>
      <c r="P115" s="5" t="s">
        <v>83</v>
      </c>
      <c r="Q115" s="5" t="s">
        <v>629</v>
      </c>
    </row>
    <row r="116" ht="102" customHeight="1" spans="1:17">
      <c r="A116" s="1" t="s">
        <v>630</v>
      </c>
      <c r="B116" s="1" t="s">
        <v>53</v>
      </c>
      <c r="C116" s="1" t="s">
        <v>631</v>
      </c>
      <c r="D116" s="1" t="s">
        <v>632</v>
      </c>
      <c r="E116" s="1" t="s">
        <v>11</v>
      </c>
      <c r="F116" s="1" t="s">
        <v>633</v>
      </c>
      <c r="G116" s="1" t="s">
        <v>634</v>
      </c>
      <c r="H116" s="1" t="s">
        <v>635</v>
      </c>
      <c r="I116" s="1" t="s">
        <v>636</v>
      </c>
      <c r="J116" s="1" t="s">
        <v>82</v>
      </c>
      <c r="K116" s="5" t="s">
        <v>14</v>
      </c>
      <c r="L116" s="5" t="s">
        <v>83</v>
      </c>
      <c r="M116" s="6"/>
      <c r="N116" s="5" t="s">
        <v>83</v>
      </c>
      <c r="O116" s="5" t="s">
        <v>83</v>
      </c>
      <c r="P116" s="5" t="s">
        <v>83</v>
      </c>
      <c r="Q116" s="5" t="s">
        <v>83</v>
      </c>
    </row>
    <row r="117" ht="87" customHeight="1" spans="1:17">
      <c r="A117" s="1" t="s">
        <v>637</v>
      </c>
      <c r="B117" s="1" t="s">
        <v>55</v>
      </c>
      <c r="C117" s="1" t="s">
        <v>514</v>
      </c>
      <c r="D117" s="1" t="s">
        <v>638</v>
      </c>
      <c r="E117" s="1" t="s">
        <v>15</v>
      </c>
      <c r="F117" s="1" t="s">
        <v>639</v>
      </c>
      <c r="G117" s="1" t="s">
        <v>640</v>
      </c>
      <c r="H117" s="1" t="s">
        <v>641</v>
      </c>
      <c r="I117" s="1" t="s">
        <v>642</v>
      </c>
      <c r="J117" s="1" t="s">
        <v>82</v>
      </c>
      <c r="K117" s="5" t="s">
        <v>14</v>
      </c>
      <c r="L117" s="5" t="s">
        <v>83</v>
      </c>
      <c r="M117" s="6"/>
      <c r="N117" s="5" t="s">
        <v>83</v>
      </c>
      <c r="O117" s="5" t="s">
        <v>83</v>
      </c>
      <c r="P117" s="5" t="s">
        <v>83</v>
      </c>
      <c r="Q117" s="5" t="s">
        <v>83</v>
      </c>
    </row>
    <row r="118" ht="87" customHeight="1" spans="1:17">
      <c r="A118" s="1" t="s">
        <v>643</v>
      </c>
      <c r="B118" s="1" t="s">
        <v>55</v>
      </c>
      <c r="C118" s="1" t="s">
        <v>514</v>
      </c>
      <c r="D118" s="1" t="s">
        <v>644</v>
      </c>
      <c r="E118" s="1" t="s">
        <v>15</v>
      </c>
      <c r="F118" s="1" t="s">
        <v>639</v>
      </c>
      <c r="G118" s="1" t="s">
        <v>645</v>
      </c>
      <c r="H118" s="1" t="s">
        <v>641</v>
      </c>
      <c r="I118" s="1" t="s">
        <v>642</v>
      </c>
      <c r="J118" s="1" t="s">
        <v>82</v>
      </c>
      <c r="K118" s="5" t="s">
        <v>14</v>
      </c>
      <c r="L118" s="5" t="s">
        <v>83</v>
      </c>
      <c r="M118" s="6"/>
      <c r="N118" s="5" t="s">
        <v>83</v>
      </c>
      <c r="O118" s="5" t="s">
        <v>83</v>
      </c>
      <c r="P118" s="5" t="s">
        <v>83</v>
      </c>
      <c r="Q118" s="5" t="s">
        <v>83</v>
      </c>
    </row>
    <row r="119" ht="87" customHeight="1" spans="1:17">
      <c r="A119" s="1" t="s">
        <v>646</v>
      </c>
      <c r="B119" s="1" t="s">
        <v>55</v>
      </c>
      <c r="C119" s="1" t="s">
        <v>514</v>
      </c>
      <c r="D119" s="1" t="s">
        <v>647</v>
      </c>
      <c r="E119" s="1" t="s">
        <v>15</v>
      </c>
      <c r="F119" s="1" t="s">
        <v>639</v>
      </c>
      <c r="G119" s="1" t="s">
        <v>648</v>
      </c>
      <c r="H119" s="1" t="s">
        <v>641</v>
      </c>
      <c r="I119" s="1" t="s">
        <v>642</v>
      </c>
      <c r="J119" s="1" t="s">
        <v>82</v>
      </c>
      <c r="K119" s="5" t="s">
        <v>14</v>
      </c>
      <c r="L119" s="5" t="s">
        <v>83</v>
      </c>
      <c r="M119" s="6"/>
      <c r="N119" s="5" t="s">
        <v>83</v>
      </c>
      <c r="O119" s="5" t="s">
        <v>83</v>
      </c>
      <c r="P119" s="5" t="s">
        <v>83</v>
      </c>
      <c r="Q119" s="5" t="s">
        <v>83</v>
      </c>
    </row>
    <row r="120" ht="87" customHeight="1" spans="1:17">
      <c r="A120" s="1" t="s">
        <v>649</v>
      </c>
      <c r="B120" s="1" t="s">
        <v>55</v>
      </c>
      <c r="C120" s="1" t="s">
        <v>514</v>
      </c>
      <c r="D120" s="1" t="s">
        <v>650</v>
      </c>
      <c r="E120" s="1" t="s">
        <v>15</v>
      </c>
      <c r="F120" s="1" t="s">
        <v>639</v>
      </c>
      <c r="G120" s="1" t="s">
        <v>651</v>
      </c>
      <c r="H120" s="1" t="s">
        <v>641</v>
      </c>
      <c r="I120" s="1" t="s">
        <v>642</v>
      </c>
      <c r="J120" s="1" t="s">
        <v>82</v>
      </c>
      <c r="K120" s="5" t="s">
        <v>14</v>
      </c>
      <c r="L120" s="5" t="s">
        <v>83</v>
      </c>
      <c r="M120" s="6"/>
      <c r="N120" s="5" t="s">
        <v>83</v>
      </c>
      <c r="O120" s="5" t="s">
        <v>83</v>
      </c>
      <c r="P120" s="5" t="s">
        <v>83</v>
      </c>
      <c r="Q120" s="5" t="s">
        <v>83</v>
      </c>
    </row>
    <row r="121" ht="87" customHeight="1" spans="1:17">
      <c r="A121" s="1" t="s">
        <v>652</v>
      </c>
      <c r="B121" s="1" t="s">
        <v>55</v>
      </c>
      <c r="C121" s="1" t="s">
        <v>514</v>
      </c>
      <c r="D121" s="1" t="s">
        <v>653</v>
      </c>
      <c r="E121" s="1" t="s">
        <v>15</v>
      </c>
      <c r="F121" s="1" t="s">
        <v>639</v>
      </c>
      <c r="G121" s="1" t="s">
        <v>654</v>
      </c>
      <c r="H121" s="1" t="s">
        <v>641</v>
      </c>
      <c r="I121" s="1" t="s">
        <v>642</v>
      </c>
      <c r="J121" s="1" t="s">
        <v>82</v>
      </c>
      <c r="K121" s="5" t="s">
        <v>14</v>
      </c>
      <c r="L121" s="5" t="s">
        <v>83</v>
      </c>
      <c r="M121" s="6"/>
      <c r="N121" s="5" t="s">
        <v>83</v>
      </c>
      <c r="O121" s="5" t="s">
        <v>83</v>
      </c>
      <c r="P121" s="5" t="s">
        <v>83</v>
      </c>
      <c r="Q121" s="5" t="s">
        <v>83</v>
      </c>
    </row>
    <row r="122" ht="87" customHeight="1" spans="1:17">
      <c r="A122" s="1" t="s">
        <v>655</v>
      </c>
      <c r="B122" s="1" t="s">
        <v>55</v>
      </c>
      <c r="C122" s="1" t="s">
        <v>514</v>
      </c>
      <c r="D122" s="1" t="s">
        <v>656</v>
      </c>
      <c r="E122" s="1" t="s">
        <v>15</v>
      </c>
      <c r="F122" s="1" t="s">
        <v>639</v>
      </c>
      <c r="G122" s="1" t="s">
        <v>657</v>
      </c>
      <c r="H122" s="1" t="s">
        <v>641</v>
      </c>
      <c r="I122" s="1" t="s">
        <v>642</v>
      </c>
      <c r="J122" s="1" t="s">
        <v>82</v>
      </c>
      <c r="K122" s="5" t="s">
        <v>14</v>
      </c>
      <c r="L122" s="5" t="s">
        <v>83</v>
      </c>
      <c r="M122" s="6"/>
      <c r="N122" s="5" t="s">
        <v>83</v>
      </c>
      <c r="O122" s="5" t="s">
        <v>83</v>
      </c>
      <c r="P122" s="5" t="s">
        <v>83</v>
      </c>
      <c r="Q122" s="5" t="s">
        <v>83</v>
      </c>
    </row>
    <row r="123" ht="87" customHeight="1" spans="1:17">
      <c r="A123" s="1" t="s">
        <v>658</v>
      </c>
      <c r="B123" s="1" t="s">
        <v>55</v>
      </c>
      <c r="C123" s="1" t="s">
        <v>514</v>
      </c>
      <c r="D123" s="1" t="s">
        <v>659</v>
      </c>
      <c r="E123" s="1" t="s">
        <v>15</v>
      </c>
      <c r="F123" s="1" t="s">
        <v>639</v>
      </c>
      <c r="G123" s="1" t="s">
        <v>660</v>
      </c>
      <c r="H123" s="1" t="s">
        <v>641</v>
      </c>
      <c r="I123" s="1" t="s">
        <v>642</v>
      </c>
      <c r="J123" s="1" t="s">
        <v>82</v>
      </c>
      <c r="K123" s="5" t="s">
        <v>14</v>
      </c>
      <c r="L123" s="5" t="s">
        <v>83</v>
      </c>
      <c r="M123" s="6"/>
      <c r="N123" s="5" t="s">
        <v>83</v>
      </c>
      <c r="O123" s="5" t="s">
        <v>83</v>
      </c>
      <c r="P123" s="5" t="s">
        <v>83</v>
      </c>
      <c r="Q123" s="5" t="s">
        <v>83</v>
      </c>
    </row>
    <row r="124" ht="87" customHeight="1" spans="1:17">
      <c r="A124" s="1" t="s">
        <v>661</v>
      </c>
      <c r="B124" s="1" t="s">
        <v>55</v>
      </c>
      <c r="C124" s="1" t="s">
        <v>514</v>
      </c>
      <c r="D124" s="1" t="s">
        <v>662</v>
      </c>
      <c r="E124" s="1" t="s">
        <v>15</v>
      </c>
      <c r="F124" s="1" t="s">
        <v>639</v>
      </c>
      <c r="G124" s="1" t="s">
        <v>663</v>
      </c>
      <c r="H124" s="1" t="s">
        <v>641</v>
      </c>
      <c r="I124" s="1" t="s">
        <v>642</v>
      </c>
      <c r="J124" s="1" t="s">
        <v>82</v>
      </c>
      <c r="K124" s="5" t="s">
        <v>14</v>
      </c>
      <c r="L124" s="5" t="s">
        <v>83</v>
      </c>
      <c r="M124" s="6"/>
      <c r="N124" s="5" t="s">
        <v>83</v>
      </c>
      <c r="O124" s="5" t="s">
        <v>83</v>
      </c>
      <c r="P124" s="5" t="s">
        <v>83</v>
      </c>
      <c r="Q124" s="5" t="s">
        <v>83</v>
      </c>
    </row>
    <row r="125" ht="87" customHeight="1" spans="1:17">
      <c r="A125" s="1" t="s">
        <v>664</v>
      </c>
      <c r="B125" s="1" t="s">
        <v>55</v>
      </c>
      <c r="C125" s="1" t="s">
        <v>514</v>
      </c>
      <c r="D125" s="1" t="s">
        <v>665</v>
      </c>
      <c r="E125" s="1" t="s">
        <v>15</v>
      </c>
      <c r="F125" s="1" t="s">
        <v>639</v>
      </c>
      <c r="G125" s="1" t="s">
        <v>666</v>
      </c>
      <c r="H125" s="1" t="s">
        <v>641</v>
      </c>
      <c r="I125" s="1" t="s">
        <v>642</v>
      </c>
      <c r="J125" s="1" t="s">
        <v>82</v>
      </c>
      <c r="K125" s="5" t="s">
        <v>14</v>
      </c>
      <c r="L125" s="5" t="s">
        <v>83</v>
      </c>
      <c r="M125" s="6"/>
      <c r="N125" s="5" t="s">
        <v>83</v>
      </c>
      <c r="O125" s="5" t="s">
        <v>83</v>
      </c>
      <c r="P125" s="5" t="s">
        <v>83</v>
      </c>
      <c r="Q125" s="5" t="s">
        <v>83</v>
      </c>
    </row>
    <row r="126" ht="87" customHeight="1" spans="1:17">
      <c r="A126" s="1" t="s">
        <v>667</v>
      </c>
      <c r="B126" s="1" t="s">
        <v>55</v>
      </c>
      <c r="C126" s="1" t="s">
        <v>514</v>
      </c>
      <c r="D126" s="1" t="s">
        <v>668</v>
      </c>
      <c r="E126" s="1" t="s">
        <v>15</v>
      </c>
      <c r="F126" s="1" t="s">
        <v>639</v>
      </c>
      <c r="G126" s="1" t="s">
        <v>669</v>
      </c>
      <c r="H126" s="1" t="s">
        <v>641</v>
      </c>
      <c r="I126" s="1" t="s">
        <v>642</v>
      </c>
      <c r="J126" s="1" t="s">
        <v>82</v>
      </c>
      <c r="K126" s="5" t="s">
        <v>14</v>
      </c>
      <c r="L126" s="5" t="s">
        <v>83</v>
      </c>
      <c r="M126" s="6"/>
      <c r="N126" s="5" t="s">
        <v>83</v>
      </c>
      <c r="O126" s="5" t="s">
        <v>83</v>
      </c>
      <c r="P126" s="5" t="s">
        <v>83</v>
      </c>
      <c r="Q126" s="5" t="s">
        <v>83</v>
      </c>
    </row>
    <row r="127" ht="87" customHeight="1" spans="1:17">
      <c r="A127" s="1" t="s">
        <v>670</v>
      </c>
      <c r="B127" s="1" t="s">
        <v>55</v>
      </c>
      <c r="C127" s="1" t="s">
        <v>514</v>
      </c>
      <c r="D127" s="1" t="s">
        <v>671</v>
      </c>
      <c r="E127" s="1" t="s">
        <v>11</v>
      </c>
      <c r="F127" s="1" t="s">
        <v>639</v>
      </c>
      <c r="G127" s="1" t="s">
        <v>672</v>
      </c>
      <c r="H127" s="1" t="s">
        <v>641</v>
      </c>
      <c r="I127" s="1" t="s">
        <v>642</v>
      </c>
      <c r="J127" s="1" t="s">
        <v>82</v>
      </c>
      <c r="K127" s="5" t="s">
        <v>14</v>
      </c>
      <c r="L127" s="5" t="s">
        <v>83</v>
      </c>
      <c r="M127" s="6"/>
      <c r="N127" s="5" t="s">
        <v>83</v>
      </c>
      <c r="O127" s="5" t="s">
        <v>83</v>
      </c>
      <c r="P127" s="5" t="s">
        <v>83</v>
      </c>
      <c r="Q127" s="5" t="s">
        <v>83</v>
      </c>
    </row>
    <row r="128" ht="87" customHeight="1" spans="1:17">
      <c r="A128" s="1" t="s">
        <v>673</v>
      </c>
      <c r="B128" s="1" t="s">
        <v>55</v>
      </c>
      <c r="C128" s="1" t="s">
        <v>514</v>
      </c>
      <c r="D128" s="1" t="s">
        <v>674</v>
      </c>
      <c r="E128" s="1" t="s">
        <v>11</v>
      </c>
      <c r="F128" s="1" t="s">
        <v>639</v>
      </c>
      <c r="G128" s="1" t="s">
        <v>675</v>
      </c>
      <c r="H128" s="1" t="s">
        <v>641</v>
      </c>
      <c r="I128" s="1" t="s">
        <v>642</v>
      </c>
      <c r="J128" s="1" t="s">
        <v>82</v>
      </c>
      <c r="K128" s="5" t="s">
        <v>14</v>
      </c>
      <c r="L128" s="5" t="s">
        <v>83</v>
      </c>
      <c r="M128" s="6"/>
      <c r="N128" s="5" t="s">
        <v>83</v>
      </c>
      <c r="O128" s="5" t="s">
        <v>83</v>
      </c>
      <c r="P128" s="5" t="s">
        <v>83</v>
      </c>
      <c r="Q128" s="5" t="s">
        <v>83</v>
      </c>
    </row>
    <row r="129" ht="87" customHeight="1" spans="1:17">
      <c r="A129" s="1" t="s">
        <v>676</v>
      </c>
      <c r="B129" s="1" t="s">
        <v>55</v>
      </c>
      <c r="C129" s="1" t="s">
        <v>514</v>
      </c>
      <c r="D129" s="1" t="s">
        <v>677</v>
      </c>
      <c r="E129" s="1" t="s">
        <v>11</v>
      </c>
      <c r="F129" s="1" t="s">
        <v>639</v>
      </c>
      <c r="G129" s="1" t="s">
        <v>678</v>
      </c>
      <c r="H129" s="1" t="s">
        <v>641</v>
      </c>
      <c r="I129" s="1" t="s">
        <v>642</v>
      </c>
      <c r="J129" s="1" t="s">
        <v>82</v>
      </c>
      <c r="K129" s="5" t="s">
        <v>14</v>
      </c>
      <c r="L129" s="5" t="s">
        <v>83</v>
      </c>
      <c r="M129" s="6"/>
      <c r="N129" s="5" t="s">
        <v>83</v>
      </c>
      <c r="O129" s="5" t="s">
        <v>83</v>
      </c>
      <c r="P129" s="5" t="s">
        <v>83</v>
      </c>
      <c r="Q129" s="5" t="s">
        <v>83</v>
      </c>
    </row>
    <row r="130" ht="87" customHeight="1" spans="1:17">
      <c r="A130" s="1" t="s">
        <v>679</v>
      </c>
      <c r="B130" s="1" t="s">
        <v>55</v>
      </c>
      <c r="C130" s="1" t="s">
        <v>514</v>
      </c>
      <c r="D130" s="1" t="s">
        <v>680</v>
      </c>
      <c r="E130" s="1" t="s">
        <v>11</v>
      </c>
      <c r="F130" s="1" t="s">
        <v>639</v>
      </c>
      <c r="G130" s="1" t="s">
        <v>681</v>
      </c>
      <c r="H130" s="1" t="s">
        <v>641</v>
      </c>
      <c r="I130" s="1" t="s">
        <v>642</v>
      </c>
      <c r="J130" s="1" t="s">
        <v>82</v>
      </c>
      <c r="K130" s="5" t="s">
        <v>14</v>
      </c>
      <c r="L130" s="5" t="s">
        <v>83</v>
      </c>
      <c r="M130" s="6"/>
      <c r="N130" s="5" t="s">
        <v>83</v>
      </c>
      <c r="O130" s="5" t="s">
        <v>83</v>
      </c>
      <c r="P130" s="5" t="s">
        <v>83</v>
      </c>
      <c r="Q130" s="5" t="s">
        <v>83</v>
      </c>
    </row>
    <row r="131" ht="87" customHeight="1" spans="1:17">
      <c r="A131" s="1" t="s">
        <v>682</v>
      </c>
      <c r="B131" s="1" t="s">
        <v>55</v>
      </c>
      <c r="C131" s="1" t="s">
        <v>514</v>
      </c>
      <c r="D131" s="1" t="s">
        <v>683</v>
      </c>
      <c r="E131" s="1" t="s">
        <v>11</v>
      </c>
      <c r="F131" s="1" t="s">
        <v>639</v>
      </c>
      <c r="G131" s="1" t="s">
        <v>684</v>
      </c>
      <c r="H131" s="1" t="s">
        <v>641</v>
      </c>
      <c r="I131" s="1" t="s">
        <v>642</v>
      </c>
      <c r="J131" s="1" t="s">
        <v>82</v>
      </c>
      <c r="K131" s="5" t="s">
        <v>14</v>
      </c>
      <c r="L131" s="5" t="s">
        <v>83</v>
      </c>
      <c r="M131" s="6"/>
      <c r="N131" s="5" t="s">
        <v>83</v>
      </c>
      <c r="O131" s="5" t="s">
        <v>83</v>
      </c>
      <c r="P131" s="5" t="s">
        <v>83</v>
      </c>
      <c r="Q131" s="5" t="s">
        <v>83</v>
      </c>
    </row>
    <row r="132" ht="87" customHeight="1" spans="1:17">
      <c r="A132" s="1" t="s">
        <v>685</v>
      </c>
      <c r="B132" s="1" t="s">
        <v>55</v>
      </c>
      <c r="C132" s="1" t="s">
        <v>514</v>
      </c>
      <c r="D132" s="1" t="s">
        <v>686</v>
      </c>
      <c r="E132" s="1" t="s">
        <v>15</v>
      </c>
      <c r="F132" s="1" t="s">
        <v>639</v>
      </c>
      <c r="G132" s="1" t="s">
        <v>687</v>
      </c>
      <c r="H132" s="1" t="s">
        <v>641</v>
      </c>
      <c r="I132" s="1" t="s">
        <v>642</v>
      </c>
      <c r="J132" s="1" t="s">
        <v>82</v>
      </c>
      <c r="K132" s="5" t="s">
        <v>14</v>
      </c>
      <c r="L132" s="5" t="s">
        <v>83</v>
      </c>
      <c r="M132" s="6"/>
      <c r="N132" s="5" t="s">
        <v>83</v>
      </c>
      <c r="O132" s="5" t="s">
        <v>83</v>
      </c>
      <c r="P132" s="5" t="s">
        <v>83</v>
      </c>
      <c r="Q132" s="5" t="s">
        <v>83</v>
      </c>
    </row>
    <row r="133" ht="87" customHeight="1" spans="1:17">
      <c r="A133" s="1" t="s">
        <v>688</v>
      </c>
      <c r="B133" s="1" t="s">
        <v>55</v>
      </c>
      <c r="C133" s="1" t="s">
        <v>514</v>
      </c>
      <c r="D133" s="1" t="s">
        <v>689</v>
      </c>
      <c r="E133" s="1" t="s">
        <v>15</v>
      </c>
      <c r="F133" s="1" t="s">
        <v>639</v>
      </c>
      <c r="G133" s="1" t="s">
        <v>690</v>
      </c>
      <c r="H133" s="1" t="s">
        <v>641</v>
      </c>
      <c r="I133" s="1" t="s">
        <v>642</v>
      </c>
      <c r="J133" s="1" t="s">
        <v>82</v>
      </c>
      <c r="K133" s="5" t="s">
        <v>14</v>
      </c>
      <c r="L133" s="5" t="s">
        <v>83</v>
      </c>
      <c r="M133" s="6"/>
      <c r="N133" s="5" t="s">
        <v>83</v>
      </c>
      <c r="O133" s="5" t="s">
        <v>83</v>
      </c>
      <c r="P133" s="5" t="s">
        <v>83</v>
      </c>
      <c r="Q133" s="5" t="s">
        <v>83</v>
      </c>
    </row>
    <row r="134" ht="87" customHeight="1" spans="1:17">
      <c r="A134" s="1" t="s">
        <v>691</v>
      </c>
      <c r="B134" s="1" t="s">
        <v>55</v>
      </c>
      <c r="C134" s="1" t="s">
        <v>514</v>
      </c>
      <c r="D134" s="1" t="s">
        <v>692</v>
      </c>
      <c r="E134" s="1" t="s">
        <v>15</v>
      </c>
      <c r="F134" s="1" t="s">
        <v>639</v>
      </c>
      <c r="G134" s="1" t="s">
        <v>693</v>
      </c>
      <c r="H134" s="1" t="s">
        <v>641</v>
      </c>
      <c r="I134" s="1" t="s">
        <v>642</v>
      </c>
      <c r="J134" s="1" t="s">
        <v>82</v>
      </c>
      <c r="K134" s="5" t="s">
        <v>14</v>
      </c>
      <c r="L134" s="5" t="s">
        <v>83</v>
      </c>
      <c r="M134" s="6"/>
      <c r="N134" s="5" t="s">
        <v>83</v>
      </c>
      <c r="O134" s="5" t="s">
        <v>83</v>
      </c>
      <c r="P134" s="5" t="s">
        <v>83</v>
      </c>
      <c r="Q134" s="5" t="s">
        <v>83</v>
      </c>
    </row>
    <row r="135" ht="87" customHeight="1" spans="1:17">
      <c r="A135" s="1" t="s">
        <v>694</v>
      </c>
      <c r="B135" s="1" t="s">
        <v>55</v>
      </c>
      <c r="C135" s="1" t="s">
        <v>514</v>
      </c>
      <c r="D135" s="1" t="s">
        <v>695</v>
      </c>
      <c r="E135" s="1" t="s">
        <v>15</v>
      </c>
      <c r="F135" s="1" t="s">
        <v>639</v>
      </c>
      <c r="G135" s="1" t="s">
        <v>696</v>
      </c>
      <c r="H135" s="1" t="s">
        <v>641</v>
      </c>
      <c r="I135" s="1" t="s">
        <v>642</v>
      </c>
      <c r="J135" s="1" t="s">
        <v>82</v>
      </c>
      <c r="K135" s="5" t="s">
        <v>14</v>
      </c>
      <c r="L135" s="5" t="s">
        <v>83</v>
      </c>
      <c r="M135" s="6"/>
      <c r="N135" s="5" t="s">
        <v>83</v>
      </c>
      <c r="O135" s="5" t="s">
        <v>83</v>
      </c>
      <c r="P135" s="5" t="s">
        <v>83</v>
      </c>
      <c r="Q135" s="5" t="s">
        <v>83</v>
      </c>
    </row>
    <row r="136" ht="87" customHeight="1" spans="1:17">
      <c r="A136" s="1" t="s">
        <v>697</v>
      </c>
      <c r="B136" s="1" t="s">
        <v>55</v>
      </c>
      <c r="C136" s="1" t="s">
        <v>514</v>
      </c>
      <c r="D136" s="1" t="s">
        <v>698</v>
      </c>
      <c r="E136" s="1" t="s">
        <v>15</v>
      </c>
      <c r="F136" s="1" t="s">
        <v>639</v>
      </c>
      <c r="G136" s="1" t="s">
        <v>699</v>
      </c>
      <c r="H136" s="1" t="s">
        <v>641</v>
      </c>
      <c r="I136" s="1" t="s">
        <v>642</v>
      </c>
      <c r="J136" s="1" t="s">
        <v>82</v>
      </c>
      <c r="K136" s="5" t="s">
        <v>14</v>
      </c>
      <c r="L136" s="5" t="s">
        <v>83</v>
      </c>
      <c r="M136" s="6"/>
      <c r="N136" s="5" t="s">
        <v>83</v>
      </c>
      <c r="O136" s="5" t="s">
        <v>83</v>
      </c>
      <c r="P136" s="5" t="s">
        <v>83</v>
      </c>
      <c r="Q136" s="5" t="s">
        <v>83</v>
      </c>
    </row>
    <row r="137" ht="87" customHeight="1" spans="1:17">
      <c r="A137" s="1" t="s">
        <v>700</v>
      </c>
      <c r="B137" s="1" t="s">
        <v>55</v>
      </c>
      <c r="C137" s="1" t="s">
        <v>514</v>
      </c>
      <c r="D137" s="1" t="s">
        <v>701</v>
      </c>
      <c r="E137" s="1" t="s">
        <v>15</v>
      </c>
      <c r="F137" s="1" t="s">
        <v>639</v>
      </c>
      <c r="G137" s="1" t="s">
        <v>702</v>
      </c>
      <c r="H137" s="1" t="s">
        <v>641</v>
      </c>
      <c r="I137" s="1" t="s">
        <v>642</v>
      </c>
      <c r="J137" s="1" t="s">
        <v>82</v>
      </c>
      <c r="K137" s="5" t="s">
        <v>14</v>
      </c>
      <c r="L137" s="5" t="s">
        <v>83</v>
      </c>
      <c r="M137" s="6"/>
      <c r="N137" s="5" t="s">
        <v>83</v>
      </c>
      <c r="O137" s="5" t="s">
        <v>83</v>
      </c>
      <c r="P137" s="5" t="s">
        <v>83</v>
      </c>
      <c r="Q137" s="5" t="s">
        <v>83</v>
      </c>
    </row>
    <row r="138" ht="87" customHeight="1" spans="1:17">
      <c r="A138" s="1" t="s">
        <v>703</v>
      </c>
      <c r="B138" s="1" t="s">
        <v>55</v>
      </c>
      <c r="C138" s="1" t="s">
        <v>514</v>
      </c>
      <c r="D138" s="1" t="s">
        <v>704</v>
      </c>
      <c r="E138" s="1" t="s">
        <v>15</v>
      </c>
      <c r="F138" s="1" t="s">
        <v>639</v>
      </c>
      <c r="G138" s="1" t="s">
        <v>705</v>
      </c>
      <c r="H138" s="1" t="s">
        <v>641</v>
      </c>
      <c r="I138" s="1" t="s">
        <v>642</v>
      </c>
      <c r="J138" s="1" t="s">
        <v>82</v>
      </c>
      <c r="K138" s="5" t="s">
        <v>14</v>
      </c>
      <c r="L138" s="5" t="s">
        <v>83</v>
      </c>
      <c r="M138" s="6"/>
      <c r="N138" s="5" t="s">
        <v>83</v>
      </c>
      <c r="O138" s="5" t="s">
        <v>83</v>
      </c>
      <c r="P138" s="5" t="s">
        <v>83</v>
      </c>
      <c r="Q138" s="5" t="s">
        <v>83</v>
      </c>
    </row>
    <row r="139" ht="87" customHeight="1" spans="1:17">
      <c r="A139" s="1" t="s">
        <v>706</v>
      </c>
      <c r="B139" s="1" t="s">
        <v>55</v>
      </c>
      <c r="C139" s="1" t="s">
        <v>514</v>
      </c>
      <c r="D139" s="1" t="s">
        <v>707</v>
      </c>
      <c r="E139" s="1" t="s">
        <v>15</v>
      </c>
      <c r="F139" s="1" t="s">
        <v>639</v>
      </c>
      <c r="G139" s="1" t="s">
        <v>708</v>
      </c>
      <c r="H139" s="1" t="s">
        <v>641</v>
      </c>
      <c r="I139" s="1" t="s">
        <v>642</v>
      </c>
      <c r="J139" s="1" t="s">
        <v>82</v>
      </c>
      <c r="K139" s="5" t="s">
        <v>14</v>
      </c>
      <c r="L139" s="5" t="s">
        <v>83</v>
      </c>
      <c r="M139" s="6"/>
      <c r="N139" s="5" t="s">
        <v>83</v>
      </c>
      <c r="O139" s="5" t="s">
        <v>83</v>
      </c>
      <c r="P139" s="5" t="s">
        <v>83</v>
      </c>
      <c r="Q139" s="5" t="s">
        <v>83</v>
      </c>
    </row>
    <row r="140" ht="87" customHeight="1" spans="1:17">
      <c r="A140" s="1" t="s">
        <v>709</v>
      </c>
      <c r="B140" s="1" t="s">
        <v>55</v>
      </c>
      <c r="C140" s="1" t="s">
        <v>514</v>
      </c>
      <c r="D140" s="1" t="s">
        <v>710</v>
      </c>
      <c r="E140" s="1" t="s">
        <v>15</v>
      </c>
      <c r="F140" s="1" t="s">
        <v>639</v>
      </c>
      <c r="G140" s="1" t="s">
        <v>711</v>
      </c>
      <c r="H140" s="1" t="s">
        <v>641</v>
      </c>
      <c r="I140" s="1" t="s">
        <v>642</v>
      </c>
      <c r="J140" s="1" t="s">
        <v>82</v>
      </c>
      <c r="K140" s="5" t="s">
        <v>14</v>
      </c>
      <c r="L140" s="5" t="s">
        <v>83</v>
      </c>
      <c r="M140" s="6"/>
      <c r="N140" s="5" t="s">
        <v>83</v>
      </c>
      <c r="O140" s="5" t="s">
        <v>83</v>
      </c>
      <c r="P140" s="5" t="s">
        <v>83</v>
      </c>
      <c r="Q140" s="5" t="s">
        <v>83</v>
      </c>
    </row>
    <row r="141" ht="87" customHeight="1" spans="1:17">
      <c r="A141" s="1" t="s">
        <v>712</v>
      </c>
      <c r="B141" s="1" t="s">
        <v>55</v>
      </c>
      <c r="C141" s="1" t="s">
        <v>514</v>
      </c>
      <c r="D141" s="1" t="s">
        <v>713</v>
      </c>
      <c r="E141" s="1" t="s">
        <v>15</v>
      </c>
      <c r="F141" s="1" t="s">
        <v>639</v>
      </c>
      <c r="G141" s="1" t="s">
        <v>714</v>
      </c>
      <c r="H141" s="1" t="s">
        <v>641</v>
      </c>
      <c r="I141" s="1" t="s">
        <v>642</v>
      </c>
      <c r="J141" s="1" t="s">
        <v>82</v>
      </c>
      <c r="K141" s="5" t="s">
        <v>14</v>
      </c>
      <c r="L141" s="5" t="s">
        <v>83</v>
      </c>
      <c r="M141" s="6"/>
      <c r="N141" s="5" t="s">
        <v>83</v>
      </c>
      <c r="O141" s="5" t="s">
        <v>83</v>
      </c>
      <c r="P141" s="5" t="s">
        <v>83</v>
      </c>
      <c r="Q141" s="5" t="s">
        <v>83</v>
      </c>
    </row>
    <row r="142" ht="87" customHeight="1" spans="1:17">
      <c r="A142" s="1" t="s">
        <v>715</v>
      </c>
      <c r="B142" s="1" t="s">
        <v>55</v>
      </c>
      <c r="C142" s="1" t="s">
        <v>514</v>
      </c>
      <c r="D142" s="1" t="s">
        <v>716</v>
      </c>
      <c r="E142" s="1" t="s">
        <v>11</v>
      </c>
      <c r="F142" s="1" t="s">
        <v>639</v>
      </c>
      <c r="G142" s="1" t="s">
        <v>717</v>
      </c>
      <c r="H142" s="1" t="s">
        <v>641</v>
      </c>
      <c r="I142" s="1" t="s">
        <v>642</v>
      </c>
      <c r="J142" s="1" t="s">
        <v>82</v>
      </c>
      <c r="K142" s="5" t="s">
        <v>14</v>
      </c>
      <c r="L142" s="5" t="s">
        <v>83</v>
      </c>
      <c r="M142" s="6"/>
      <c r="N142" s="5" t="s">
        <v>83</v>
      </c>
      <c r="O142" s="5" t="s">
        <v>83</v>
      </c>
      <c r="P142" s="5" t="s">
        <v>83</v>
      </c>
      <c r="Q142" s="5" t="s">
        <v>83</v>
      </c>
    </row>
    <row r="143" ht="87" customHeight="1" spans="1:17">
      <c r="A143" s="1" t="s">
        <v>718</v>
      </c>
      <c r="B143" s="1" t="s">
        <v>55</v>
      </c>
      <c r="C143" s="1" t="s">
        <v>514</v>
      </c>
      <c r="D143" s="1" t="s">
        <v>719</v>
      </c>
      <c r="E143" s="1" t="s">
        <v>11</v>
      </c>
      <c r="F143" s="1" t="s">
        <v>639</v>
      </c>
      <c r="G143" s="1" t="s">
        <v>720</v>
      </c>
      <c r="H143" s="1" t="s">
        <v>641</v>
      </c>
      <c r="I143" s="1" t="s">
        <v>642</v>
      </c>
      <c r="J143" s="1" t="s">
        <v>82</v>
      </c>
      <c r="K143" s="5" t="s">
        <v>14</v>
      </c>
      <c r="L143" s="5" t="s">
        <v>83</v>
      </c>
      <c r="M143" s="6"/>
      <c r="N143" s="5" t="s">
        <v>83</v>
      </c>
      <c r="O143" s="5" t="s">
        <v>83</v>
      </c>
      <c r="P143" s="5" t="s">
        <v>83</v>
      </c>
      <c r="Q143" s="5" t="s">
        <v>83</v>
      </c>
    </row>
    <row r="144" ht="87" customHeight="1" spans="1:17">
      <c r="A144" s="1" t="s">
        <v>721</v>
      </c>
      <c r="B144" s="1" t="s">
        <v>55</v>
      </c>
      <c r="C144" s="1" t="s">
        <v>514</v>
      </c>
      <c r="D144" s="1" t="s">
        <v>722</v>
      </c>
      <c r="E144" s="1" t="s">
        <v>11</v>
      </c>
      <c r="F144" s="1" t="s">
        <v>639</v>
      </c>
      <c r="G144" s="1" t="s">
        <v>723</v>
      </c>
      <c r="H144" s="1" t="s">
        <v>641</v>
      </c>
      <c r="I144" s="1" t="s">
        <v>642</v>
      </c>
      <c r="J144" s="1" t="s">
        <v>82</v>
      </c>
      <c r="K144" s="5" t="s">
        <v>14</v>
      </c>
      <c r="L144" s="5" t="s">
        <v>83</v>
      </c>
      <c r="M144" s="6"/>
      <c r="N144" s="5" t="s">
        <v>83</v>
      </c>
      <c r="O144" s="5" t="s">
        <v>83</v>
      </c>
      <c r="P144" s="5" t="s">
        <v>83</v>
      </c>
      <c r="Q144" s="5" t="s">
        <v>83</v>
      </c>
    </row>
    <row r="145" ht="87" customHeight="1" spans="1:17">
      <c r="A145" s="1" t="s">
        <v>724</v>
      </c>
      <c r="B145" s="1" t="s">
        <v>55</v>
      </c>
      <c r="C145" s="1" t="s">
        <v>514</v>
      </c>
      <c r="D145" s="1" t="s">
        <v>725</v>
      </c>
      <c r="E145" s="1" t="s">
        <v>11</v>
      </c>
      <c r="F145" s="1" t="s">
        <v>639</v>
      </c>
      <c r="G145" s="1" t="s">
        <v>726</v>
      </c>
      <c r="H145" s="1" t="s">
        <v>641</v>
      </c>
      <c r="I145" s="1" t="s">
        <v>642</v>
      </c>
      <c r="J145" s="1" t="s">
        <v>82</v>
      </c>
      <c r="K145" s="5" t="s">
        <v>14</v>
      </c>
      <c r="L145" s="5" t="s">
        <v>83</v>
      </c>
      <c r="M145" s="6"/>
      <c r="N145" s="5" t="s">
        <v>83</v>
      </c>
      <c r="O145" s="5" t="s">
        <v>83</v>
      </c>
      <c r="P145" s="5" t="s">
        <v>83</v>
      </c>
      <c r="Q145" s="5" t="s">
        <v>83</v>
      </c>
    </row>
    <row r="146" ht="87" customHeight="1" spans="1:17">
      <c r="A146" s="1" t="s">
        <v>727</v>
      </c>
      <c r="B146" s="1" t="s">
        <v>55</v>
      </c>
      <c r="C146" s="1" t="s">
        <v>514</v>
      </c>
      <c r="D146" s="1" t="s">
        <v>728</v>
      </c>
      <c r="E146" s="1" t="s">
        <v>15</v>
      </c>
      <c r="F146" s="1" t="s">
        <v>639</v>
      </c>
      <c r="G146" s="1" t="s">
        <v>729</v>
      </c>
      <c r="H146" s="1" t="s">
        <v>641</v>
      </c>
      <c r="I146" s="1" t="s">
        <v>642</v>
      </c>
      <c r="J146" s="1" t="s">
        <v>82</v>
      </c>
      <c r="K146" s="5" t="s">
        <v>14</v>
      </c>
      <c r="L146" s="5" t="s">
        <v>83</v>
      </c>
      <c r="M146" s="6"/>
      <c r="N146" s="5" t="s">
        <v>83</v>
      </c>
      <c r="O146" s="5" t="s">
        <v>83</v>
      </c>
      <c r="P146" s="5" t="s">
        <v>83</v>
      </c>
      <c r="Q146" s="5" t="s">
        <v>83</v>
      </c>
    </row>
    <row r="147" ht="72" customHeight="1" spans="1:17">
      <c r="A147" s="1" t="s">
        <v>730</v>
      </c>
      <c r="B147" s="1" t="s">
        <v>55</v>
      </c>
      <c r="C147" s="1" t="s">
        <v>514</v>
      </c>
      <c r="D147" s="1" t="s">
        <v>731</v>
      </c>
      <c r="E147" s="1" t="s">
        <v>11</v>
      </c>
      <c r="F147" s="1" t="s">
        <v>639</v>
      </c>
      <c r="G147" s="1" t="s">
        <v>732</v>
      </c>
      <c r="H147" s="1" t="s">
        <v>733</v>
      </c>
      <c r="I147" s="1" t="s">
        <v>734</v>
      </c>
      <c r="J147" s="1" t="s">
        <v>82</v>
      </c>
      <c r="K147" s="5" t="s">
        <v>14</v>
      </c>
      <c r="L147" s="5" t="s">
        <v>83</v>
      </c>
      <c r="M147" s="6"/>
      <c r="N147" s="5" t="s">
        <v>83</v>
      </c>
      <c r="O147" s="5" t="s">
        <v>83</v>
      </c>
      <c r="P147" s="5" t="s">
        <v>83</v>
      </c>
      <c r="Q147" s="5" t="s">
        <v>83</v>
      </c>
    </row>
  </sheetData>
  <conditionalFormatting sqref="K6:K147">
    <cfRule type="containsText" dxfId="0" priority="1" operator="between" text="Fail">
      <formula>NOT(ISERROR(SEARCH("Fail",K6)))</formula>
    </cfRule>
    <cfRule type="containsText" dxfId="1" priority="2" operator="between" text="Blocked">
      <formula>NOT(ISERROR(SEARCH("Blocked",K6)))</formula>
    </cfRule>
    <cfRule type="containsText" dxfId="2" priority="3" operator="between" text="Pass">
      <formula>NOT(ISERROR(SEARCH("Pass",K6)))</formula>
    </cfRule>
  </conditionalFormatting>
  <dataValidations count="1">
    <dataValidation type="list" sqref="K6:K147">
      <formula1>"Not Run,Pass,Fail,Blocked,N/A"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6"/>
  <sheetViews>
    <sheetView showGridLines="0" tabSelected="1" workbookViewId="0">
      <pane ySplit="5" topLeftCell="A6" activePane="bottomLeft" state="frozen"/>
      <selection/>
      <selection pane="bottomLeft" activeCell="D44" sqref="D44"/>
    </sheetView>
  </sheetViews>
  <sheetFormatPr defaultColWidth="9" defaultRowHeight="13.8" outlineLevelCol="3"/>
  <cols>
    <col min="1" max="1" width="16" customWidth="1"/>
    <col min="2" max="2" width="28" customWidth="1"/>
    <col min="3" max="3" width="88" customWidth="1"/>
    <col min="4" max="4" width="58" customWidth="1"/>
  </cols>
  <sheetData>
    <row r="1" spans="1:4">
      <c r="A1" s="1"/>
      <c r="B1" s="1"/>
      <c r="C1" s="1"/>
      <c r="D1" s="1"/>
    </row>
    <row r="2" ht="28" customHeight="1" spans="1:4">
      <c r="A2" s="2" t="s">
        <v>735</v>
      </c>
      <c r="B2" s="1"/>
      <c r="C2" s="1"/>
      <c r="D2" s="1"/>
    </row>
    <row r="3" spans="1:4">
      <c r="A3" s="3" t="s">
        <v>736</v>
      </c>
      <c r="B3" s="1"/>
      <c r="C3" s="1"/>
      <c r="D3" s="1"/>
    </row>
    <row r="4" spans="1:4">
      <c r="A4" s="1"/>
      <c r="B4" s="1"/>
      <c r="C4" s="1"/>
      <c r="D4" s="1"/>
    </row>
    <row r="5" ht="34" customHeight="1" spans="1:4">
      <c r="A5" s="4" t="s">
        <v>737</v>
      </c>
      <c r="B5" s="4" t="s">
        <v>738</v>
      </c>
      <c r="C5" s="4" t="s">
        <v>739</v>
      </c>
      <c r="D5" s="4" t="s">
        <v>740</v>
      </c>
    </row>
    <row r="6" ht="32" customHeight="1" spans="1:4">
      <c r="A6" s="1" t="s">
        <v>741</v>
      </c>
      <c r="B6" s="1" t="s">
        <v>742</v>
      </c>
      <c r="C6" s="1" t="s">
        <v>743</v>
      </c>
      <c r="D6" s="5" t="s">
        <v>83</v>
      </c>
    </row>
    <row r="7" ht="32" customHeight="1" spans="1:4">
      <c r="A7" s="1" t="s">
        <v>741</v>
      </c>
      <c r="B7" s="1" t="s">
        <v>744</v>
      </c>
      <c r="C7" s="1" t="s">
        <v>745</v>
      </c>
      <c r="D7" s="5" t="s">
        <v>83</v>
      </c>
    </row>
    <row r="8" ht="32" customHeight="1" spans="1:4">
      <c r="A8" s="1" t="s">
        <v>741</v>
      </c>
      <c r="B8" s="1" t="s">
        <v>746</v>
      </c>
      <c r="C8" s="1" t="s">
        <v>747</v>
      </c>
      <c r="D8" s="5" t="s">
        <v>83</v>
      </c>
    </row>
    <row r="9" ht="32" customHeight="1" spans="1:4">
      <c r="A9" s="1" t="s">
        <v>741</v>
      </c>
      <c r="B9" s="1" t="s">
        <v>71</v>
      </c>
      <c r="C9" s="1" t="s">
        <v>748</v>
      </c>
      <c r="D9" s="5" t="s">
        <v>83</v>
      </c>
    </row>
    <row r="10" ht="32" customHeight="1" spans="1:4">
      <c r="A10" s="1" t="s">
        <v>741</v>
      </c>
      <c r="B10" s="1" t="s">
        <v>749</v>
      </c>
      <c r="C10" s="1" t="s">
        <v>750</v>
      </c>
      <c r="D10" s="5" t="s">
        <v>83</v>
      </c>
    </row>
    <row r="11" ht="42" customHeight="1" spans="1:4">
      <c r="A11" s="1" t="s">
        <v>751</v>
      </c>
      <c r="B11" s="1" t="s">
        <v>752</v>
      </c>
      <c r="C11" s="1" t="s">
        <v>753</v>
      </c>
      <c r="D11" s="5" t="s">
        <v>83</v>
      </c>
    </row>
    <row r="12" ht="42" customHeight="1" spans="1:4">
      <c r="A12" s="1" t="s">
        <v>754</v>
      </c>
      <c r="B12" s="1" t="s">
        <v>755</v>
      </c>
      <c r="C12" s="1" t="s">
        <v>756</v>
      </c>
      <c r="D12" s="5" t="s">
        <v>83</v>
      </c>
    </row>
    <row r="13" ht="32" customHeight="1" spans="1:4">
      <c r="A13" s="1" t="s">
        <v>754</v>
      </c>
      <c r="B13" s="1" t="s">
        <v>757</v>
      </c>
      <c r="C13" s="1" t="s">
        <v>758</v>
      </c>
      <c r="D13" s="5" t="s">
        <v>83</v>
      </c>
    </row>
    <row r="14" ht="42" customHeight="1" spans="1:4">
      <c r="A14" s="1" t="s">
        <v>754</v>
      </c>
      <c r="B14" s="1" t="s">
        <v>759</v>
      </c>
      <c r="C14" s="1" t="s">
        <v>760</v>
      </c>
      <c r="D14" s="5" t="s">
        <v>83</v>
      </c>
    </row>
    <row r="15" ht="32" customHeight="1" spans="1:4">
      <c r="A15" s="1" t="s">
        <v>761</v>
      </c>
      <c r="B15" s="1" t="s">
        <v>762</v>
      </c>
      <c r="C15" s="1" t="s">
        <v>763</v>
      </c>
      <c r="D15" s="5" t="s">
        <v>83</v>
      </c>
    </row>
    <row r="16" ht="42" customHeight="1" spans="1:4">
      <c r="A16" s="1" t="s">
        <v>761</v>
      </c>
      <c r="B16" s="1" t="s">
        <v>764</v>
      </c>
      <c r="C16" s="1" t="s">
        <v>765</v>
      </c>
      <c r="D16" s="5" t="s">
        <v>83</v>
      </c>
    </row>
    <row r="17" ht="32" customHeight="1" spans="1:4">
      <c r="A17" s="1" t="s">
        <v>761</v>
      </c>
      <c r="B17" s="1" t="s">
        <v>766</v>
      </c>
      <c r="C17" s="1" t="s">
        <v>767</v>
      </c>
      <c r="D17" s="5" t="s">
        <v>83</v>
      </c>
    </row>
    <row r="18" ht="42" customHeight="1" spans="1:4">
      <c r="A18" s="1" t="s">
        <v>761</v>
      </c>
      <c r="B18" s="1" t="s">
        <v>768</v>
      </c>
      <c r="C18" s="1" t="s">
        <v>769</v>
      </c>
      <c r="D18" s="5" t="s">
        <v>83</v>
      </c>
    </row>
    <row r="19" ht="32" customHeight="1" spans="1:4">
      <c r="A19" s="1" t="s">
        <v>761</v>
      </c>
      <c r="B19" s="1" t="s">
        <v>770</v>
      </c>
      <c r="C19" s="1" t="s">
        <v>771</v>
      </c>
      <c r="D19" s="5" t="s">
        <v>83</v>
      </c>
    </row>
    <row r="20" ht="42" customHeight="1" spans="1:4">
      <c r="A20" s="1" t="s">
        <v>772</v>
      </c>
      <c r="B20" s="1" t="s">
        <v>773</v>
      </c>
      <c r="C20" s="1" t="s">
        <v>774</v>
      </c>
      <c r="D20" s="5" t="s">
        <v>83</v>
      </c>
    </row>
    <row r="21" ht="32" customHeight="1" spans="1:4">
      <c r="A21" s="1" t="s">
        <v>775</v>
      </c>
      <c r="B21" s="1" t="s">
        <v>776</v>
      </c>
      <c r="C21" s="1" t="s">
        <v>777</v>
      </c>
      <c r="D21" s="5" t="s">
        <v>83</v>
      </c>
    </row>
    <row r="22" ht="32" customHeight="1" spans="1:4">
      <c r="A22" s="1" t="s">
        <v>775</v>
      </c>
      <c r="B22" s="1" t="s">
        <v>778</v>
      </c>
      <c r="C22" s="1" t="s">
        <v>779</v>
      </c>
      <c r="D22" s="5" t="s">
        <v>83</v>
      </c>
    </row>
    <row r="23" ht="32" customHeight="1" spans="1:4">
      <c r="A23" s="1" t="s">
        <v>775</v>
      </c>
      <c r="B23" s="1" t="s">
        <v>780</v>
      </c>
      <c r="C23" s="1" t="s">
        <v>781</v>
      </c>
      <c r="D23" s="5" t="s">
        <v>83</v>
      </c>
    </row>
    <row r="24" ht="32" customHeight="1" spans="1:4">
      <c r="A24" s="1" t="s">
        <v>775</v>
      </c>
      <c r="B24" s="1" t="s">
        <v>782</v>
      </c>
      <c r="C24" s="1" t="s">
        <v>783</v>
      </c>
      <c r="D24" s="5" t="s">
        <v>83</v>
      </c>
    </row>
    <row r="25" ht="32" customHeight="1" spans="1:4">
      <c r="A25" s="1" t="s">
        <v>784</v>
      </c>
      <c r="B25" s="1" t="s">
        <v>785</v>
      </c>
      <c r="C25" s="1" t="s">
        <v>786</v>
      </c>
      <c r="D25" s="5" t="s">
        <v>83</v>
      </c>
    </row>
    <row r="26" ht="42" customHeight="1" spans="1:4">
      <c r="A26" s="1" t="s">
        <v>784</v>
      </c>
      <c r="B26" s="1" t="s">
        <v>787</v>
      </c>
      <c r="C26" s="1" t="s">
        <v>788</v>
      </c>
      <c r="D26" s="5" t="s">
        <v>83</v>
      </c>
    </row>
    <row r="27" ht="42" customHeight="1" spans="1:4">
      <c r="A27" s="1" t="s">
        <v>784</v>
      </c>
      <c r="B27" s="1" t="s">
        <v>789</v>
      </c>
      <c r="C27" s="1" t="s">
        <v>790</v>
      </c>
      <c r="D27" s="5" t="s">
        <v>83</v>
      </c>
    </row>
    <row r="31" ht="17.4" spans="1:4">
      <c r="A31" s="7"/>
    </row>
    <row r="33" ht="44" customHeight="1" spans="2:3">
      <c r="B33" s="1"/>
      <c r="C33" s="1"/>
    </row>
    <row r="34" ht="44" customHeight="1" spans="2:3">
      <c r="B34" s="1"/>
      <c r="C34" s="1"/>
    </row>
    <row r="35" ht="44" customHeight="1" spans="2:3">
      <c r="B35" s="1"/>
      <c r="C35" s="1"/>
    </row>
    <row r="36" ht="44" customHeight="1" spans="2:3">
      <c r="B36" s="1"/>
      <c r="C36" s="1"/>
    </row>
    <row r="37" ht="44" customHeight="1" spans="2:3">
      <c r="B37" s="1"/>
      <c r="C37" s="1"/>
    </row>
    <row r="38" ht="44" customHeight="1" spans="2:3">
      <c r="B38" s="1"/>
      <c r="C38" s="1"/>
    </row>
    <row r="39" ht="44" customHeight="1" spans="2:3">
      <c r="B39" s="1"/>
      <c r="C39" s="1"/>
    </row>
    <row r="40" ht="44" customHeight="1" spans="2:3">
      <c r="B40" s="1"/>
      <c r="C40" s="1"/>
    </row>
    <row r="41" ht="44" customHeight="1" spans="2:3">
      <c r="B41" s="1"/>
      <c r="C41" s="1"/>
    </row>
    <row r="42" ht="44" customHeight="1" spans="2:3">
      <c r="B42" s="1"/>
      <c r="C42" s="1"/>
    </row>
    <row r="43" ht="44" customHeight="1" spans="2:3">
      <c r="B43" s="1"/>
      <c r="C43" s="1"/>
    </row>
    <row r="44" ht="44" customHeight="1" spans="2:3">
      <c r="B44" s="1"/>
      <c r="C44" s="1"/>
    </row>
    <row r="45" ht="44" customHeight="1" spans="2:3">
      <c r="B45" s="1"/>
      <c r="C45" s="1"/>
    </row>
    <row r="46" ht="44" customHeight="1" spans="2:3">
      <c r="B46" s="1"/>
      <c r="C46" s="1"/>
    </row>
  </sheetData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8"/>
  <sheetViews>
    <sheetView showGridLines="0" workbookViewId="0">
      <pane ySplit="8" topLeftCell="A9" activePane="bottomLeft" state="frozen"/>
      <selection/>
      <selection pane="bottomLeft" activeCell="A1" sqref="A1"/>
    </sheetView>
  </sheetViews>
  <sheetFormatPr defaultColWidth="9" defaultRowHeight="13.8"/>
  <cols>
    <col min="1" max="1" width="16" customWidth="1"/>
    <col min="2" max="2" width="58" customWidth="1"/>
    <col min="3" max="3" width="44" customWidth="1"/>
    <col min="4" max="4" width="42" customWidth="1"/>
    <col min="5" max="5" width="20" customWidth="1"/>
    <col min="6" max="6" width="50" customWidth="1"/>
    <col min="7" max="9" width="10" customWidth="1"/>
    <col min="10" max="10" width="40" customWidth="1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ht="28" customHeight="1" spans="1:10">
      <c r="A2" s="2" t="s">
        <v>791</v>
      </c>
      <c r="B2" s="1"/>
      <c r="C2" s="1"/>
      <c r="D2" s="1"/>
      <c r="E2" s="1"/>
      <c r="F2" s="1"/>
      <c r="G2" s="1"/>
      <c r="H2" s="1"/>
      <c r="I2" s="1"/>
      <c r="J2" s="1"/>
    </row>
    <row r="3" spans="1:10">
      <c r="A3" s="3" t="s">
        <v>792</v>
      </c>
      <c r="B3" s="1"/>
      <c r="C3" s="1"/>
      <c r="D3" s="1"/>
      <c r="E3" s="1"/>
      <c r="F3" s="1"/>
      <c r="G3" s="1"/>
      <c r="H3" s="1"/>
      <c r="I3" s="1"/>
      <c r="J3" s="1"/>
    </row>
    <row r="4" spans="1:10">
      <c r="A4" s="3" t="s">
        <v>793</v>
      </c>
      <c r="B4" s="1"/>
      <c r="C4" s="1"/>
      <c r="D4" s="1"/>
      <c r="E4" s="1"/>
      <c r="F4" s="1"/>
      <c r="G4" s="1"/>
      <c r="H4" s="1"/>
      <c r="I4" s="1"/>
      <c r="J4" s="1"/>
    </row>
    <row r="5" spans="1:10">
      <c r="A5" s="3" t="s">
        <v>794</v>
      </c>
      <c r="B5" s="1"/>
      <c r="C5" s="1"/>
      <c r="D5" s="1"/>
      <c r="E5" s="1"/>
      <c r="F5" s="1"/>
      <c r="G5" s="1"/>
      <c r="H5" s="1"/>
      <c r="I5" s="1"/>
      <c r="J5" s="1"/>
    </row>
    <row r="6" spans="1:10">
      <c r="A6" s="1"/>
      <c r="B6" s="1"/>
      <c r="C6" s="1"/>
      <c r="D6" s="1"/>
      <c r="E6" s="1"/>
      <c r="F6" s="1"/>
      <c r="G6" s="1"/>
      <c r="H6" s="1"/>
      <c r="I6" s="1"/>
      <c r="J6" s="1"/>
    </row>
    <row r="7" spans="1:10">
      <c r="A7" s="1"/>
      <c r="B7" s="1"/>
      <c r="C7" s="1"/>
      <c r="D7" s="1"/>
      <c r="E7" s="1"/>
      <c r="F7" s="1"/>
      <c r="G7" s="1"/>
      <c r="H7" s="1"/>
      <c r="I7" s="1"/>
      <c r="J7" s="1"/>
    </row>
    <row r="8" ht="34" customHeight="1" spans="1:10">
      <c r="A8" s="4" t="s">
        <v>795</v>
      </c>
      <c r="B8" s="4" t="s">
        <v>796</v>
      </c>
      <c r="C8" s="4" t="s">
        <v>797</v>
      </c>
      <c r="D8" s="4" t="s">
        <v>798</v>
      </c>
      <c r="E8" s="4" t="s">
        <v>799</v>
      </c>
      <c r="F8" s="4" t="s">
        <v>800</v>
      </c>
      <c r="G8" s="4" t="s">
        <v>801</v>
      </c>
      <c r="H8" s="4" t="s">
        <v>802</v>
      </c>
      <c r="I8" s="4" t="s">
        <v>803</v>
      </c>
      <c r="J8" s="4" t="s">
        <v>804</v>
      </c>
    </row>
    <row r="9" ht="32" customHeight="1" spans="1:10">
      <c r="A9" s="1" t="s">
        <v>805</v>
      </c>
      <c r="B9" s="1" t="s">
        <v>806</v>
      </c>
      <c r="C9" s="1" t="s">
        <v>807</v>
      </c>
      <c r="D9" s="1" t="s">
        <v>808</v>
      </c>
      <c r="E9" s="5" t="s">
        <v>809</v>
      </c>
      <c r="F9" s="5" t="s">
        <v>83</v>
      </c>
      <c r="G9" s="5"/>
      <c r="H9" s="5"/>
      <c r="I9" s="5"/>
      <c r="J9" s="5" t="s">
        <v>83</v>
      </c>
    </row>
    <row r="10" ht="32" customHeight="1" spans="1:10">
      <c r="A10" s="1" t="s">
        <v>810</v>
      </c>
      <c r="B10" s="1" t="s">
        <v>811</v>
      </c>
      <c r="C10" s="1" t="s">
        <v>812</v>
      </c>
      <c r="D10" s="1" t="s">
        <v>808</v>
      </c>
      <c r="E10" s="5" t="s">
        <v>809</v>
      </c>
      <c r="F10" s="5" t="s">
        <v>83</v>
      </c>
      <c r="G10" s="5"/>
      <c r="H10" s="5"/>
      <c r="I10" s="5"/>
      <c r="J10" s="5" t="s">
        <v>83</v>
      </c>
    </row>
    <row r="11" ht="32" customHeight="1" spans="1:10">
      <c r="A11" s="1" t="s">
        <v>813</v>
      </c>
      <c r="B11" s="1" t="s">
        <v>814</v>
      </c>
      <c r="C11" s="1" t="s">
        <v>815</v>
      </c>
      <c r="D11" s="1" t="s">
        <v>808</v>
      </c>
      <c r="E11" s="5" t="s">
        <v>809</v>
      </c>
      <c r="F11" s="5" t="s">
        <v>83</v>
      </c>
      <c r="G11" s="5"/>
      <c r="H11" s="5"/>
      <c r="I11" s="5"/>
      <c r="J11" s="5" t="s">
        <v>83</v>
      </c>
    </row>
    <row r="12" ht="32" customHeight="1" spans="1:10">
      <c r="A12" s="1" t="s">
        <v>816</v>
      </c>
      <c r="B12" s="1" t="s">
        <v>817</v>
      </c>
      <c r="C12" s="1" t="s">
        <v>818</v>
      </c>
      <c r="D12" s="1" t="s">
        <v>808</v>
      </c>
      <c r="E12" s="5" t="s">
        <v>809</v>
      </c>
      <c r="F12" s="5" t="s">
        <v>83</v>
      </c>
      <c r="G12" s="5"/>
      <c r="H12" s="5"/>
      <c r="I12" s="5"/>
      <c r="J12" s="5" t="s">
        <v>83</v>
      </c>
    </row>
    <row r="13" ht="32" customHeight="1" spans="1:10">
      <c r="A13" s="1" t="s">
        <v>819</v>
      </c>
      <c r="B13" s="1" t="s">
        <v>820</v>
      </c>
      <c r="C13" s="1" t="s">
        <v>821</v>
      </c>
      <c r="D13" s="1" t="s">
        <v>808</v>
      </c>
      <c r="E13" s="5" t="s">
        <v>809</v>
      </c>
      <c r="F13" s="5" t="s">
        <v>83</v>
      </c>
      <c r="G13" s="5"/>
      <c r="H13" s="5"/>
      <c r="I13" s="5"/>
      <c r="J13" s="5" t="s">
        <v>83</v>
      </c>
    </row>
    <row r="14" ht="32" customHeight="1" spans="1:10">
      <c r="A14" s="1" t="s">
        <v>822</v>
      </c>
      <c r="B14" s="1" t="s">
        <v>823</v>
      </c>
      <c r="C14" s="1" t="s">
        <v>824</v>
      </c>
      <c r="D14" s="1" t="s">
        <v>808</v>
      </c>
      <c r="E14" s="5" t="s">
        <v>809</v>
      </c>
      <c r="F14" s="5" t="s">
        <v>83</v>
      </c>
      <c r="G14" s="5"/>
      <c r="H14" s="5"/>
      <c r="I14" s="5"/>
      <c r="J14" s="5" t="s">
        <v>83</v>
      </c>
    </row>
    <row r="15" ht="32" customHeight="1" spans="1:10">
      <c r="A15" s="1" t="s">
        <v>825</v>
      </c>
      <c r="B15" s="1" t="s">
        <v>826</v>
      </c>
      <c r="C15" s="1" t="s">
        <v>827</v>
      </c>
      <c r="D15" s="1" t="s">
        <v>808</v>
      </c>
      <c r="E15" s="5" t="s">
        <v>809</v>
      </c>
      <c r="F15" s="5" t="s">
        <v>83</v>
      </c>
      <c r="G15" s="5"/>
      <c r="H15" s="5"/>
      <c r="I15" s="5"/>
      <c r="J15" s="5" t="s">
        <v>83</v>
      </c>
    </row>
    <row r="16" ht="32" customHeight="1" spans="1:10">
      <c r="A16" s="1" t="s">
        <v>828</v>
      </c>
      <c r="B16" s="1" t="s">
        <v>829</v>
      </c>
      <c r="C16" s="1" t="s">
        <v>830</v>
      </c>
      <c r="D16" s="1" t="s">
        <v>808</v>
      </c>
      <c r="E16" s="5" t="s">
        <v>809</v>
      </c>
      <c r="F16" s="5" t="s">
        <v>83</v>
      </c>
      <c r="G16" s="5"/>
      <c r="H16" s="5"/>
      <c r="I16" s="5"/>
      <c r="J16" s="5" t="s">
        <v>83</v>
      </c>
    </row>
    <row r="17" ht="32" customHeight="1" spans="1:10">
      <c r="A17" s="1" t="s">
        <v>831</v>
      </c>
      <c r="B17" s="1" t="s">
        <v>832</v>
      </c>
      <c r="C17" s="1" t="s">
        <v>833</v>
      </c>
      <c r="D17" s="1" t="s">
        <v>808</v>
      </c>
      <c r="E17" s="5" t="s">
        <v>809</v>
      </c>
      <c r="F17" s="5" t="s">
        <v>83</v>
      </c>
      <c r="G17" s="5"/>
      <c r="H17" s="5"/>
      <c r="I17" s="5"/>
      <c r="J17" s="5" t="s">
        <v>83</v>
      </c>
    </row>
    <row r="18" ht="32" customHeight="1" spans="1:10">
      <c r="A18" s="1" t="s">
        <v>834</v>
      </c>
      <c r="B18" s="1" t="s">
        <v>835</v>
      </c>
      <c r="C18" s="1" t="s">
        <v>836</v>
      </c>
      <c r="D18" s="1" t="s">
        <v>808</v>
      </c>
      <c r="E18" s="5" t="s">
        <v>809</v>
      </c>
      <c r="F18" s="5" t="s">
        <v>83</v>
      </c>
      <c r="G18" s="5"/>
      <c r="H18" s="5"/>
      <c r="I18" s="5"/>
      <c r="J18" s="5" t="s">
        <v>83</v>
      </c>
    </row>
    <row r="19" ht="32" customHeight="1" spans="1:10">
      <c r="A19" s="1" t="s">
        <v>837</v>
      </c>
      <c r="B19" s="1" t="s">
        <v>522</v>
      </c>
      <c r="C19" s="1" t="s">
        <v>838</v>
      </c>
      <c r="D19" s="1" t="s">
        <v>807</v>
      </c>
      <c r="E19" s="5" t="s">
        <v>809</v>
      </c>
      <c r="F19" s="5" t="s">
        <v>83</v>
      </c>
      <c r="G19" s="5"/>
      <c r="H19" s="5"/>
      <c r="I19" s="5"/>
      <c r="J19" s="5" t="s">
        <v>83</v>
      </c>
    </row>
    <row r="20" ht="32" customHeight="1" spans="1:10">
      <c r="A20" s="1" t="s">
        <v>839</v>
      </c>
      <c r="B20" s="1" t="s">
        <v>840</v>
      </c>
      <c r="C20" s="1" t="s">
        <v>838</v>
      </c>
      <c r="D20" s="1" t="s">
        <v>821</v>
      </c>
      <c r="E20" s="5" t="s">
        <v>809</v>
      </c>
      <c r="F20" s="5" t="s">
        <v>83</v>
      </c>
      <c r="G20" s="5"/>
      <c r="H20" s="5"/>
      <c r="I20" s="5"/>
      <c r="J20" s="5" t="s">
        <v>83</v>
      </c>
    </row>
    <row r="21" ht="32" customHeight="1" spans="1:10">
      <c r="A21" s="1" t="s">
        <v>841</v>
      </c>
      <c r="B21" s="1" t="s">
        <v>842</v>
      </c>
      <c r="C21" s="1" t="s">
        <v>838</v>
      </c>
      <c r="D21" s="1" t="s">
        <v>818</v>
      </c>
      <c r="E21" s="5" t="s">
        <v>809</v>
      </c>
      <c r="F21" s="5" t="s">
        <v>83</v>
      </c>
      <c r="G21" s="5"/>
      <c r="H21" s="5"/>
      <c r="I21" s="5"/>
      <c r="J21" s="5" t="s">
        <v>83</v>
      </c>
    </row>
    <row r="22" ht="32" customHeight="1" spans="1:10">
      <c r="A22" s="1" t="s">
        <v>843</v>
      </c>
      <c r="B22" s="1" t="s">
        <v>844</v>
      </c>
      <c r="C22" s="1" t="s">
        <v>838</v>
      </c>
      <c r="D22" s="1" t="s">
        <v>836</v>
      </c>
      <c r="E22" s="5" t="s">
        <v>809</v>
      </c>
      <c r="F22" s="5" t="s">
        <v>83</v>
      </c>
      <c r="G22" s="5"/>
      <c r="H22" s="5"/>
      <c r="I22" s="5"/>
      <c r="J22" s="5" t="s">
        <v>83</v>
      </c>
    </row>
    <row r="23" ht="32" customHeight="1" spans="1:10">
      <c r="A23" s="1" t="s">
        <v>845</v>
      </c>
      <c r="B23" s="1" t="s">
        <v>846</v>
      </c>
      <c r="C23" s="1" t="s">
        <v>838</v>
      </c>
      <c r="D23" s="1" t="s">
        <v>824</v>
      </c>
      <c r="E23" s="5" t="s">
        <v>809</v>
      </c>
      <c r="F23" s="5" t="s">
        <v>83</v>
      </c>
      <c r="G23" s="5"/>
      <c r="H23" s="5"/>
      <c r="I23" s="5"/>
      <c r="J23" s="5" t="s">
        <v>83</v>
      </c>
    </row>
    <row r="24" ht="32" customHeight="1" spans="1:10">
      <c r="A24" s="1" t="s">
        <v>847</v>
      </c>
      <c r="B24" s="1" t="s">
        <v>848</v>
      </c>
      <c r="C24" s="1" t="s">
        <v>849</v>
      </c>
      <c r="D24" s="1" t="s">
        <v>808</v>
      </c>
      <c r="E24" s="5" t="s">
        <v>809</v>
      </c>
      <c r="F24" s="5" t="s">
        <v>83</v>
      </c>
      <c r="G24" s="5"/>
      <c r="H24" s="5"/>
      <c r="I24" s="5"/>
      <c r="J24" s="5" t="s">
        <v>83</v>
      </c>
    </row>
    <row r="25" ht="32" customHeight="1" spans="1:10">
      <c r="A25" s="1" t="s">
        <v>850</v>
      </c>
      <c r="B25" s="1" t="s">
        <v>851</v>
      </c>
      <c r="C25" s="1" t="s">
        <v>852</v>
      </c>
      <c r="D25" s="1" t="s">
        <v>808</v>
      </c>
      <c r="E25" s="5" t="s">
        <v>809</v>
      </c>
      <c r="F25" s="5" t="s">
        <v>83</v>
      </c>
      <c r="G25" s="5"/>
      <c r="H25" s="5"/>
      <c r="I25" s="5"/>
      <c r="J25" s="5" t="s">
        <v>83</v>
      </c>
    </row>
    <row r="26" ht="32" customHeight="1" spans="1:10">
      <c r="A26" s="1" t="s">
        <v>853</v>
      </c>
      <c r="B26" s="1" t="s">
        <v>854</v>
      </c>
      <c r="C26" s="1" t="s">
        <v>855</v>
      </c>
      <c r="D26" s="1" t="s">
        <v>808</v>
      </c>
      <c r="E26" s="5" t="s">
        <v>809</v>
      </c>
      <c r="F26" s="5" t="s">
        <v>83</v>
      </c>
      <c r="G26" s="5"/>
      <c r="H26" s="5"/>
      <c r="I26" s="5"/>
      <c r="J26" s="5" t="s">
        <v>83</v>
      </c>
    </row>
    <row r="27" ht="32" customHeight="1" spans="1:10">
      <c r="A27" s="1" t="s">
        <v>856</v>
      </c>
      <c r="B27" s="1" t="s">
        <v>857</v>
      </c>
      <c r="C27" s="1" t="s">
        <v>858</v>
      </c>
      <c r="D27" s="1" t="s">
        <v>808</v>
      </c>
      <c r="E27" s="5" t="s">
        <v>809</v>
      </c>
      <c r="F27" s="5" t="s">
        <v>83</v>
      </c>
      <c r="G27" s="5"/>
      <c r="H27" s="5"/>
      <c r="I27" s="5"/>
      <c r="J27" s="5" t="s">
        <v>83</v>
      </c>
    </row>
    <row r="28" ht="32" customHeight="1" spans="1:10">
      <c r="A28" s="1" t="s">
        <v>859</v>
      </c>
      <c r="B28" s="1" t="s">
        <v>860</v>
      </c>
      <c r="C28" s="1" t="s">
        <v>833</v>
      </c>
      <c r="D28" s="1" t="s">
        <v>807</v>
      </c>
      <c r="E28" s="5" t="s">
        <v>809</v>
      </c>
      <c r="F28" s="5" t="s">
        <v>83</v>
      </c>
      <c r="G28" s="5"/>
      <c r="H28" s="5"/>
      <c r="I28" s="5"/>
      <c r="J28" s="5" t="s">
        <v>83</v>
      </c>
    </row>
    <row r="29" ht="32" customHeight="1" spans="1:10">
      <c r="A29" s="1" t="s">
        <v>861</v>
      </c>
      <c r="B29" s="1" t="s">
        <v>862</v>
      </c>
      <c r="C29" s="1" t="s">
        <v>807</v>
      </c>
      <c r="D29" s="1" t="s">
        <v>863</v>
      </c>
      <c r="E29" s="5" t="s">
        <v>809</v>
      </c>
      <c r="F29" s="5" t="s">
        <v>83</v>
      </c>
      <c r="G29" s="5"/>
      <c r="H29" s="5"/>
      <c r="I29" s="5"/>
      <c r="J29" s="5" t="s">
        <v>83</v>
      </c>
    </row>
    <row r="30" ht="32" customHeight="1" spans="1:10">
      <c r="A30" s="1" t="s">
        <v>864</v>
      </c>
      <c r="B30" s="1" t="s">
        <v>865</v>
      </c>
      <c r="C30" s="1" t="s">
        <v>818</v>
      </c>
      <c r="D30" s="1" t="s">
        <v>808</v>
      </c>
      <c r="E30" s="5" t="s">
        <v>809</v>
      </c>
      <c r="F30" s="5" t="s">
        <v>83</v>
      </c>
      <c r="G30" s="5"/>
      <c r="H30" s="5"/>
      <c r="I30" s="5"/>
      <c r="J30" s="5" t="s">
        <v>83</v>
      </c>
    </row>
    <row r="31" ht="32" customHeight="1" spans="1:10">
      <c r="A31" s="1" t="s">
        <v>866</v>
      </c>
      <c r="B31" s="1" t="s">
        <v>867</v>
      </c>
      <c r="C31" s="1" t="s">
        <v>815</v>
      </c>
      <c r="D31" s="1" t="s">
        <v>808</v>
      </c>
      <c r="E31" s="5" t="s">
        <v>809</v>
      </c>
      <c r="F31" s="5" t="s">
        <v>83</v>
      </c>
      <c r="G31" s="5"/>
      <c r="H31" s="5"/>
      <c r="I31" s="5"/>
      <c r="J31" s="5" t="s">
        <v>83</v>
      </c>
    </row>
    <row r="32" ht="32" customHeight="1" spans="1:10">
      <c r="A32" s="1" t="s">
        <v>868</v>
      </c>
      <c r="B32" s="1" t="s">
        <v>869</v>
      </c>
      <c r="C32" s="1" t="s">
        <v>849</v>
      </c>
      <c r="D32" s="1" t="s">
        <v>808</v>
      </c>
      <c r="E32" s="5" t="s">
        <v>809</v>
      </c>
      <c r="F32" s="5" t="s">
        <v>83</v>
      </c>
      <c r="G32" s="5"/>
      <c r="H32" s="5"/>
      <c r="I32" s="5"/>
      <c r="J32" s="5" t="s">
        <v>83</v>
      </c>
    </row>
    <row r="33" ht="32" customHeight="1" spans="1:10">
      <c r="A33" s="1" t="s">
        <v>870</v>
      </c>
      <c r="B33" s="1" t="s">
        <v>871</v>
      </c>
      <c r="C33" s="1" t="s">
        <v>807</v>
      </c>
      <c r="D33" s="1" t="s">
        <v>808</v>
      </c>
      <c r="E33" s="5" t="s">
        <v>809</v>
      </c>
      <c r="F33" s="5" t="s">
        <v>83</v>
      </c>
      <c r="G33" s="5"/>
      <c r="H33" s="5"/>
      <c r="I33" s="5"/>
      <c r="J33" s="5" t="s">
        <v>83</v>
      </c>
    </row>
    <row r="34" ht="32" customHeight="1" spans="1:10">
      <c r="A34" s="1" t="s">
        <v>872</v>
      </c>
      <c r="B34" s="1" t="s">
        <v>873</v>
      </c>
      <c r="C34" s="1" t="s">
        <v>838</v>
      </c>
      <c r="D34" s="1" t="s">
        <v>874</v>
      </c>
      <c r="E34" s="5" t="s">
        <v>809</v>
      </c>
      <c r="F34" s="5" t="s">
        <v>83</v>
      </c>
      <c r="G34" s="5"/>
      <c r="H34" s="5"/>
      <c r="I34" s="5"/>
      <c r="J34" s="5" t="s">
        <v>83</v>
      </c>
    </row>
    <row r="35" ht="32" customHeight="1" spans="1:10">
      <c r="A35" s="1" t="s">
        <v>875</v>
      </c>
      <c r="B35" s="1" t="s">
        <v>876</v>
      </c>
      <c r="C35" s="1" t="s">
        <v>807</v>
      </c>
      <c r="D35" s="1" t="s">
        <v>827</v>
      </c>
      <c r="E35" s="5" t="s">
        <v>809</v>
      </c>
      <c r="F35" s="5" t="s">
        <v>83</v>
      </c>
      <c r="G35" s="5"/>
      <c r="H35" s="5"/>
      <c r="I35" s="5"/>
      <c r="J35" s="5" t="s">
        <v>83</v>
      </c>
    </row>
    <row r="36" ht="32" customHeight="1" spans="1:10">
      <c r="A36" s="1" t="s">
        <v>877</v>
      </c>
      <c r="B36" s="1" t="s">
        <v>878</v>
      </c>
      <c r="C36" s="1" t="s">
        <v>821</v>
      </c>
      <c r="D36" s="1" t="s">
        <v>824</v>
      </c>
      <c r="E36" s="5" t="s">
        <v>809</v>
      </c>
      <c r="F36" s="5" t="s">
        <v>83</v>
      </c>
      <c r="G36" s="5"/>
      <c r="H36" s="5"/>
      <c r="I36" s="5"/>
      <c r="J36" s="5" t="s">
        <v>83</v>
      </c>
    </row>
    <row r="37" ht="32" customHeight="1" spans="1:10">
      <c r="A37" s="1" t="s">
        <v>879</v>
      </c>
      <c r="B37" s="1" t="s">
        <v>880</v>
      </c>
      <c r="C37" s="1" t="s">
        <v>881</v>
      </c>
      <c r="D37" s="1" t="s">
        <v>815</v>
      </c>
      <c r="E37" s="5" t="s">
        <v>809</v>
      </c>
      <c r="F37" s="5" t="s">
        <v>83</v>
      </c>
      <c r="G37" s="5"/>
      <c r="H37" s="5"/>
      <c r="I37" s="5"/>
      <c r="J37" s="5" t="s">
        <v>83</v>
      </c>
    </row>
    <row r="38" ht="32" customHeight="1" spans="1:10">
      <c r="A38" s="1" t="s">
        <v>882</v>
      </c>
      <c r="B38" s="1" t="s">
        <v>883</v>
      </c>
      <c r="C38" s="1" t="s">
        <v>884</v>
      </c>
      <c r="D38" s="1" t="s">
        <v>808</v>
      </c>
      <c r="E38" s="5" t="s">
        <v>809</v>
      </c>
      <c r="F38" s="5" t="s">
        <v>83</v>
      </c>
      <c r="G38" s="5"/>
      <c r="H38" s="5"/>
      <c r="I38" s="5"/>
      <c r="J38" s="5" t="s">
        <v>83</v>
      </c>
    </row>
  </sheetData>
  <dataValidations count="2">
    <dataValidation type="list" sqref="E9:E38">
      <formula1>"Chưa duyệt,Đã duyệt"</formula1>
    </dataValidation>
    <dataValidation type="whole" operator="greaterThanOrEqual" sqref="G9:I38">
      <formula1>0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5"/>
  <sheetViews>
    <sheetView showGridLines="0" workbookViewId="0">
      <pane ySplit="5" topLeftCell="A6" activePane="bottomLeft" state="frozen"/>
      <selection/>
      <selection pane="bottomLeft" activeCell="A1" sqref="A1"/>
    </sheetView>
  </sheetViews>
  <sheetFormatPr defaultColWidth="9" defaultRowHeight="13.8"/>
  <cols>
    <col min="1" max="1" width="18" customWidth="1"/>
    <col min="2" max="2" width="20" customWidth="1"/>
    <col min="3" max="3" width="34" customWidth="1"/>
    <col min="4" max="4" width="18" customWidth="1"/>
    <col min="5" max="5" width="58" customWidth="1"/>
    <col min="6" max="7" width="45" customWidth="1"/>
    <col min="8" max="8" width="20" customWidth="1"/>
    <col min="9" max="9" width="30" customWidth="1"/>
    <col min="10" max="11" width="24" customWidth="1"/>
    <col min="12" max="12" width="20" customWidth="1"/>
    <col min="13" max="13" width="18" customWidth="1"/>
    <col min="14" max="14" width="32" customWidth="1"/>
    <col min="15" max="15" width="40" customWidth="1"/>
  </cols>
  <sheetData>
    <row r="1" spans="1: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8" customHeight="1" spans="1:15">
      <c r="A2" s="2" t="s">
        <v>885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>
      <c r="A3" s="3" t="s">
        <v>886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ht="34" customHeight="1" spans="1:15">
      <c r="A5" s="4" t="s">
        <v>73</v>
      </c>
      <c r="B5" s="4" t="s">
        <v>887</v>
      </c>
      <c r="C5" s="4" t="s">
        <v>888</v>
      </c>
      <c r="D5" s="4" t="s">
        <v>889</v>
      </c>
      <c r="E5" s="4" t="s">
        <v>890</v>
      </c>
      <c r="F5" s="4" t="s">
        <v>891</v>
      </c>
      <c r="G5" s="4" t="s">
        <v>892</v>
      </c>
      <c r="H5" s="4" t="s">
        <v>893</v>
      </c>
      <c r="I5" s="4" t="s">
        <v>72</v>
      </c>
      <c r="J5" s="4" t="s">
        <v>894</v>
      </c>
      <c r="K5" s="4" t="s">
        <v>895</v>
      </c>
      <c r="L5" s="4" t="s">
        <v>896</v>
      </c>
      <c r="M5" s="4" t="s">
        <v>897</v>
      </c>
      <c r="N5" s="4" t="s">
        <v>898</v>
      </c>
      <c r="O5" s="4" t="s">
        <v>899</v>
      </c>
    </row>
    <row r="6" ht="70" customHeight="1" spans="1:15">
      <c r="A6" s="5" t="s">
        <v>83</v>
      </c>
      <c r="B6" s="5" t="s">
        <v>83</v>
      </c>
      <c r="C6" s="5" t="s">
        <v>83</v>
      </c>
      <c r="D6" s="5" t="s">
        <v>83</v>
      </c>
      <c r="E6" s="5" t="s">
        <v>83</v>
      </c>
      <c r="F6" s="5" t="s">
        <v>83</v>
      </c>
      <c r="G6" s="5" t="s">
        <v>83</v>
      </c>
      <c r="H6" s="5" t="s">
        <v>83</v>
      </c>
      <c r="I6" s="5" t="s">
        <v>83</v>
      </c>
      <c r="J6" s="5" t="s">
        <v>83</v>
      </c>
      <c r="K6" s="5" t="s">
        <v>83</v>
      </c>
      <c r="L6" s="5" t="s">
        <v>83</v>
      </c>
      <c r="M6" s="6" t="s">
        <v>83</v>
      </c>
      <c r="N6" s="5" t="s">
        <v>83</v>
      </c>
      <c r="O6" s="5" t="s">
        <v>83</v>
      </c>
    </row>
    <row r="7" ht="70" customHeight="1" spans="1:15">
      <c r="A7" s="5" t="s">
        <v>83</v>
      </c>
      <c r="B7" s="5" t="s">
        <v>83</v>
      </c>
      <c r="C7" s="5" t="s">
        <v>83</v>
      </c>
      <c r="D7" s="5" t="s">
        <v>83</v>
      </c>
      <c r="E7" s="5" t="s">
        <v>83</v>
      </c>
      <c r="F7" s="5" t="s">
        <v>83</v>
      </c>
      <c r="G7" s="5" t="s">
        <v>83</v>
      </c>
      <c r="H7" s="5" t="s">
        <v>83</v>
      </c>
      <c r="I7" s="5" t="s">
        <v>83</v>
      </c>
      <c r="J7" s="5" t="s">
        <v>83</v>
      </c>
      <c r="K7" s="5" t="s">
        <v>83</v>
      </c>
      <c r="L7" s="5" t="s">
        <v>83</v>
      </c>
      <c r="M7" s="6" t="s">
        <v>83</v>
      </c>
      <c r="N7" s="5" t="s">
        <v>83</v>
      </c>
      <c r="O7" s="5" t="s">
        <v>83</v>
      </c>
    </row>
    <row r="8" ht="70" customHeight="1" spans="1:15">
      <c r="A8" s="5" t="s">
        <v>83</v>
      </c>
      <c r="B8" s="5" t="s">
        <v>83</v>
      </c>
      <c r="C8" s="5" t="s">
        <v>83</v>
      </c>
      <c r="D8" s="5" t="s">
        <v>83</v>
      </c>
      <c r="E8" s="5" t="s">
        <v>83</v>
      </c>
      <c r="F8" s="5" t="s">
        <v>83</v>
      </c>
      <c r="G8" s="5" t="s">
        <v>83</v>
      </c>
      <c r="H8" s="5" t="s">
        <v>83</v>
      </c>
      <c r="I8" s="5" t="s">
        <v>83</v>
      </c>
      <c r="J8" s="5" t="s">
        <v>83</v>
      </c>
      <c r="K8" s="5" t="s">
        <v>83</v>
      </c>
      <c r="L8" s="5" t="s">
        <v>83</v>
      </c>
      <c r="M8" s="6" t="s">
        <v>83</v>
      </c>
      <c r="N8" s="5" t="s">
        <v>83</v>
      </c>
      <c r="O8" s="5" t="s">
        <v>83</v>
      </c>
    </row>
    <row r="9" ht="70" customHeight="1" spans="1:15">
      <c r="A9" s="5" t="s">
        <v>83</v>
      </c>
      <c r="B9" s="5" t="s">
        <v>83</v>
      </c>
      <c r="C9" s="5" t="s">
        <v>83</v>
      </c>
      <c r="D9" s="5" t="s">
        <v>83</v>
      </c>
      <c r="E9" s="5" t="s">
        <v>83</v>
      </c>
      <c r="F9" s="5" t="s">
        <v>83</v>
      </c>
      <c r="G9" s="5" t="s">
        <v>83</v>
      </c>
      <c r="H9" s="5" t="s">
        <v>83</v>
      </c>
      <c r="I9" s="5" t="s">
        <v>83</v>
      </c>
      <c r="J9" s="5" t="s">
        <v>83</v>
      </c>
      <c r="K9" s="5" t="s">
        <v>83</v>
      </c>
      <c r="L9" s="5" t="s">
        <v>83</v>
      </c>
      <c r="M9" s="6" t="s">
        <v>83</v>
      </c>
      <c r="N9" s="5" t="s">
        <v>83</v>
      </c>
      <c r="O9" s="5" t="s">
        <v>83</v>
      </c>
    </row>
    <row r="10" ht="70" customHeight="1" spans="1:15">
      <c r="A10" s="5" t="s">
        <v>83</v>
      </c>
      <c r="B10" s="5" t="s">
        <v>83</v>
      </c>
      <c r="C10" s="5" t="s">
        <v>83</v>
      </c>
      <c r="D10" s="5" t="s">
        <v>83</v>
      </c>
      <c r="E10" s="5" t="s">
        <v>83</v>
      </c>
      <c r="F10" s="5" t="s">
        <v>83</v>
      </c>
      <c r="G10" s="5" t="s">
        <v>83</v>
      </c>
      <c r="H10" s="5" t="s">
        <v>83</v>
      </c>
      <c r="I10" s="5" t="s">
        <v>83</v>
      </c>
      <c r="J10" s="5" t="s">
        <v>83</v>
      </c>
      <c r="K10" s="5" t="s">
        <v>83</v>
      </c>
      <c r="L10" s="5" t="s">
        <v>83</v>
      </c>
      <c r="M10" s="6" t="s">
        <v>83</v>
      </c>
      <c r="N10" s="5" t="s">
        <v>83</v>
      </c>
      <c r="O10" s="5" t="s">
        <v>83</v>
      </c>
    </row>
    <row r="11" ht="70" customHeight="1" spans="1:15">
      <c r="A11" s="5" t="s">
        <v>83</v>
      </c>
      <c r="B11" s="5" t="s">
        <v>83</v>
      </c>
      <c r="C11" s="5" t="s">
        <v>83</v>
      </c>
      <c r="D11" s="5" t="s">
        <v>83</v>
      </c>
      <c r="E11" s="5" t="s">
        <v>83</v>
      </c>
      <c r="F11" s="5" t="s">
        <v>83</v>
      </c>
      <c r="G11" s="5" t="s">
        <v>83</v>
      </c>
      <c r="H11" s="5" t="s">
        <v>83</v>
      </c>
      <c r="I11" s="5" t="s">
        <v>83</v>
      </c>
      <c r="J11" s="5" t="s">
        <v>83</v>
      </c>
      <c r="K11" s="5" t="s">
        <v>83</v>
      </c>
      <c r="L11" s="5" t="s">
        <v>83</v>
      </c>
      <c r="M11" s="6" t="s">
        <v>83</v>
      </c>
      <c r="N11" s="5" t="s">
        <v>83</v>
      </c>
      <c r="O11" s="5" t="s">
        <v>83</v>
      </c>
    </row>
    <row r="12" ht="70" customHeight="1" spans="1:15">
      <c r="A12" s="5" t="s">
        <v>83</v>
      </c>
      <c r="B12" s="5" t="s">
        <v>83</v>
      </c>
      <c r="C12" s="5" t="s">
        <v>83</v>
      </c>
      <c r="D12" s="5" t="s">
        <v>83</v>
      </c>
      <c r="E12" s="5" t="s">
        <v>83</v>
      </c>
      <c r="F12" s="5" t="s">
        <v>83</v>
      </c>
      <c r="G12" s="5" t="s">
        <v>83</v>
      </c>
      <c r="H12" s="5" t="s">
        <v>83</v>
      </c>
      <c r="I12" s="5" t="s">
        <v>83</v>
      </c>
      <c r="J12" s="5" t="s">
        <v>83</v>
      </c>
      <c r="K12" s="5" t="s">
        <v>83</v>
      </c>
      <c r="L12" s="5" t="s">
        <v>83</v>
      </c>
      <c r="M12" s="6" t="s">
        <v>83</v>
      </c>
      <c r="N12" s="5" t="s">
        <v>83</v>
      </c>
      <c r="O12" s="5" t="s">
        <v>83</v>
      </c>
    </row>
    <row r="13" ht="70" customHeight="1" spans="1:15">
      <c r="A13" s="5" t="s">
        <v>83</v>
      </c>
      <c r="B13" s="5" t="s">
        <v>83</v>
      </c>
      <c r="C13" s="5" t="s">
        <v>83</v>
      </c>
      <c r="D13" s="5" t="s">
        <v>83</v>
      </c>
      <c r="E13" s="5" t="s">
        <v>83</v>
      </c>
      <c r="F13" s="5" t="s">
        <v>83</v>
      </c>
      <c r="G13" s="5" t="s">
        <v>83</v>
      </c>
      <c r="H13" s="5" t="s">
        <v>83</v>
      </c>
      <c r="I13" s="5" t="s">
        <v>83</v>
      </c>
      <c r="J13" s="5" t="s">
        <v>83</v>
      </c>
      <c r="K13" s="5" t="s">
        <v>83</v>
      </c>
      <c r="L13" s="5" t="s">
        <v>83</v>
      </c>
      <c r="M13" s="6" t="s">
        <v>83</v>
      </c>
      <c r="N13" s="5" t="s">
        <v>83</v>
      </c>
      <c r="O13" s="5" t="s">
        <v>83</v>
      </c>
    </row>
    <row r="14" ht="70" customHeight="1" spans="1:15">
      <c r="A14" s="5" t="s">
        <v>83</v>
      </c>
      <c r="B14" s="5" t="s">
        <v>83</v>
      </c>
      <c r="C14" s="5" t="s">
        <v>83</v>
      </c>
      <c r="D14" s="5" t="s">
        <v>83</v>
      </c>
      <c r="E14" s="5" t="s">
        <v>83</v>
      </c>
      <c r="F14" s="5" t="s">
        <v>83</v>
      </c>
      <c r="G14" s="5" t="s">
        <v>83</v>
      </c>
      <c r="H14" s="5" t="s">
        <v>83</v>
      </c>
      <c r="I14" s="5" t="s">
        <v>83</v>
      </c>
      <c r="J14" s="5" t="s">
        <v>83</v>
      </c>
      <c r="K14" s="5" t="s">
        <v>83</v>
      </c>
      <c r="L14" s="5" t="s">
        <v>83</v>
      </c>
      <c r="M14" s="6" t="s">
        <v>83</v>
      </c>
      <c r="N14" s="5" t="s">
        <v>83</v>
      </c>
      <c r="O14" s="5" t="s">
        <v>83</v>
      </c>
    </row>
    <row r="15" ht="70" customHeight="1" spans="1:15">
      <c r="A15" s="5" t="s">
        <v>83</v>
      </c>
      <c r="B15" s="5" t="s">
        <v>83</v>
      </c>
      <c r="C15" s="5" t="s">
        <v>83</v>
      </c>
      <c r="D15" s="5" t="s">
        <v>83</v>
      </c>
      <c r="E15" s="5" t="s">
        <v>83</v>
      </c>
      <c r="F15" s="5" t="s">
        <v>83</v>
      </c>
      <c r="G15" s="5" t="s">
        <v>83</v>
      </c>
      <c r="H15" s="5" t="s">
        <v>83</v>
      </c>
      <c r="I15" s="5" t="s">
        <v>83</v>
      </c>
      <c r="J15" s="5" t="s">
        <v>83</v>
      </c>
      <c r="K15" s="5" t="s">
        <v>83</v>
      </c>
      <c r="L15" s="5" t="s">
        <v>83</v>
      </c>
      <c r="M15" s="6" t="s">
        <v>83</v>
      </c>
      <c r="N15" s="5" t="s">
        <v>83</v>
      </c>
      <c r="O15" s="5" t="s">
        <v>83</v>
      </c>
    </row>
    <row r="16" ht="70" customHeight="1" spans="1:15">
      <c r="A16" s="5" t="s">
        <v>83</v>
      </c>
      <c r="B16" s="5" t="s">
        <v>83</v>
      </c>
      <c r="C16" s="5" t="s">
        <v>83</v>
      </c>
      <c r="D16" s="5" t="s">
        <v>83</v>
      </c>
      <c r="E16" s="5" t="s">
        <v>83</v>
      </c>
      <c r="F16" s="5" t="s">
        <v>83</v>
      </c>
      <c r="G16" s="5" t="s">
        <v>83</v>
      </c>
      <c r="H16" s="5" t="s">
        <v>83</v>
      </c>
      <c r="I16" s="5" t="s">
        <v>83</v>
      </c>
      <c r="J16" s="5" t="s">
        <v>83</v>
      </c>
      <c r="K16" s="5" t="s">
        <v>83</v>
      </c>
      <c r="L16" s="5" t="s">
        <v>83</v>
      </c>
      <c r="M16" s="6" t="s">
        <v>83</v>
      </c>
      <c r="N16" s="5" t="s">
        <v>83</v>
      </c>
      <c r="O16" s="5" t="s">
        <v>83</v>
      </c>
    </row>
    <row r="17" ht="70" customHeight="1" spans="1:15">
      <c r="A17" s="5" t="s">
        <v>83</v>
      </c>
      <c r="B17" s="5" t="s">
        <v>83</v>
      </c>
      <c r="C17" s="5" t="s">
        <v>83</v>
      </c>
      <c r="D17" s="5" t="s">
        <v>83</v>
      </c>
      <c r="E17" s="5" t="s">
        <v>83</v>
      </c>
      <c r="F17" s="5" t="s">
        <v>83</v>
      </c>
      <c r="G17" s="5" t="s">
        <v>83</v>
      </c>
      <c r="H17" s="5" t="s">
        <v>83</v>
      </c>
      <c r="I17" s="5" t="s">
        <v>83</v>
      </c>
      <c r="J17" s="5" t="s">
        <v>83</v>
      </c>
      <c r="K17" s="5" t="s">
        <v>83</v>
      </c>
      <c r="L17" s="5" t="s">
        <v>83</v>
      </c>
      <c r="M17" s="6" t="s">
        <v>83</v>
      </c>
      <c r="N17" s="5" t="s">
        <v>83</v>
      </c>
      <c r="O17" s="5" t="s">
        <v>83</v>
      </c>
    </row>
    <row r="18" ht="70" customHeight="1" spans="1:15">
      <c r="A18" s="5" t="s">
        <v>83</v>
      </c>
      <c r="B18" s="5" t="s">
        <v>83</v>
      </c>
      <c r="C18" s="5" t="s">
        <v>83</v>
      </c>
      <c r="D18" s="5" t="s">
        <v>83</v>
      </c>
      <c r="E18" s="5" t="s">
        <v>83</v>
      </c>
      <c r="F18" s="5" t="s">
        <v>83</v>
      </c>
      <c r="G18" s="5" t="s">
        <v>83</v>
      </c>
      <c r="H18" s="5" t="s">
        <v>83</v>
      </c>
      <c r="I18" s="5" t="s">
        <v>83</v>
      </c>
      <c r="J18" s="5" t="s">
        <v>83</v>
      </c>
      <c r="K18" s="5" t="s">
        <v>83</v>
      </c>
      <c r="L18" s="5" t="s">
        <v>83</v>
      </c>
      <c r="M18" s="6" t="s">
        <v>83</v>
      </c>
      <c r="N18" s="5" t="s">
        <v>83</v>
      </c>
      <c r="O18" s="5" t="s">
        <v>83</v>
      </c>
    </row>
    <row r="19" ht="70" customHeight="1" spans="1:15">
      <c r="A19" s="5" t="s">
        <v>83</v>
      </c>
      <c r="B19" s="5" t="s">
        <v>83</v>
      </c>
      <c r="C19" s="5" t="s">
        <v>83</v>
      </c>
      <c r="D19" s="5" t="s">
        <v>83</v>
      </c>
      <c r="E19" s="5" t="s">
        <v>83</v>
      </c>
      <c r="F19" s="5" t="s">
        <v>83</v>
      </c>
      <c r="G19" s="5" t="s">
        <v>83</v>
      </c>
      <c r="H19" s="5" t="s">
        <v>83</v>
      </c>
      <c r="I19" s="5" t="s">
        <v>83</v>
      </c>
      <c r="J19" s="5" t="s">
        <v>83</v>
      </c>
      <c r="K19" s="5" t="s">
        <v>83</v>
      </c>
      <c r="L19" s="5" t="s">
        <v>83</v>
      </c>
      <c r="M19" s="6" t="s">
        <v>83</v>
      </c>
      <c r="N19" s="5" t="s">
        <v>83</v>
      </c>
      <c r="O19" s="5" t="s">
        <v>83</v>
      </c>
    </row>
    <row r="20" ht="70" customHeight="1" spans="1:15">
      <c r="A20" s="5" t="s">
        <v>83</v>
      </c>
      <c r="B20" s="5" t="s">
        <v>83</v>
      </c>
      <c r="C20" s="5" t="s">
        <v>83</v>
      </c>
      <c r="D20" s="5" t="s">
        <v>83</v>
      </c>
      <c r="E20" s="5" t="s">
        <v>83</v>
      </c>
      <c r="F20" s="5" t="s">
        <v>83</v>
      </c>
      <c r="G20" s="5" t="s">
        <v>83</v>
      </c>
      <c r="H20" s="5" t="s">
        <v>83</v>
      </c>
      <c r="I20" s="5" t="s">
        <v>83</v>
      </c>
      <c r="J20" s="5" t="s">
        <v>83</v>
      </c>
      <c r="K20" s="5" t="s">
        <v>83</v>
      </c>
      <c r="L20" s="5" t="s">
        <v>83</v>
      </c>
      <c r="M20" s="6" t="s">
        <v>83</v>
      </c>
      <c r="N20" s="5" t="s">
        <v>83</v>
      </c>
      <c r="O20" s="5" t="s">
        <v>83</v>
      </c>
    </row>
    <row r="21" ht="70" customHeight="1" spans="1:15">
      <c r="A21" s="5" t="s">
        <v>83</v>
      </c>
      <c r="B21" s="5" t="s">
        <v>83</v>
      </c>
      <c r="C21" s="5" t="s">
        <v>83</v>
      </c>
      <c r="D21" s="5" t="s">
        <v>83</v>
      </c>
      <c r="E21" s="5" t="s">
        <v>83</v>
      </c>
      <c r="F21" s="5" t="s">
        <v>83</v>
      </c>
      <c r="G21" s="5" t="s">
        <v>83</v>
      </c>
      <c r="H21" s="5" t="s">
        <v>83</v>
      </c>
      <c r="I21" s="5" t="s">
        <v>83</v>
      </c>
      <c r="J21" s="5" t="s">
        <v>83</v>
      </c>
      <c r="K21" s="5" t="s">
        <v>83</v>
      </c>
      <c r="L21" s="5" t="s">
        <v>83</v>
      </c>
      <c r="M21" s="6" t="s">
        <v>83</v>
      </c>
      <c r="N21" s="5" t="s">
        <v>83</v>
      </c>
      <c r="O21" s="5" t="s">
        <v>83</v>
      </c>
    </row>
    <row r="22" ht="70" customHeight="1" spans="1:15">
      <c r="A22" s="5" t="s">
        <v>83</v>
      </c>
      <c r="B22" s="5" t="s">
        <v>83</v>
      </c>
      <c r="C22" s="5" t="s">
        <v>83</v>
      </c>
      <c r="D22" s="5" t="s">
        <v>83</v>
      </c>
      <c r="E22" s="5" t="s">
        <v>83</v>
      </c>
      <c r="F22" s="5" t="s">
        <v>83</v>
      </c>
      <c r="G22" s="5" t="s">
        <v>83</v>
      </c>
      <c r="H22" s="5" t="s">
        <v>83</v>
      </c>
      <c r="I22" s="5" t="s">
        <v>83</v>
      </c>
      <c r="J22" s="5" t="s">
        <v>83</v>
      </c>
      <c r="K22" s="5" t="s">
        <v>83</v>
      </c>
      <c r="L22" s="5" t="s">
        <v>83</v>
      </c>
      <c r="M22" s="6" t="s">
        <v>83</v>
      </c>
      <c r="N22" s="5" t="s">
        <v>83</v>
      </c>
      <c r="O22" s="5" t="s">
        <v>83</v>
      </c>
    </row>
    <row r="23" ht="70" customHeight="1" spans="1:15">
      <c r="A23" s="5" t="s">
        <v>83</v>
      </c>
      <c r="B23" s="5" t="s">
        <v>83</v>
      </c>
      <c r="C23" s="5" t="s">
        <v>83</v>
      </c>
      <c r="D23" s="5" t="s">
        <v>83</v>
      </c>
      <c r="E23" s="5" t="s">
        <v>83</v>
      </c>
      <c r="F23" s="5" t="s">
        <v>83</v>
      </c>
      <c r="G23" s="5" t="s">
        <v>83</v>
      </c>
      <c r="H23" s="5" t="s">
        <v>83</v>
      </c>
      <c r="I23" s="5" t="s">
        <v>83</v>
      </c>
      <c r="J23" s="5" t="s">
        <v>83</v>
      </c>
      <c r="K23" s="5" t="s">
        <v>83</v>
      </c>
      <c r="L23" s="5" t="s">
        <v>83</v>
      </c>
      <c r="M23" s="6" t="s">
        <v>83</v>
      </c>
      <c r="N23" s="5" t="s">
        <v>83</v>
      </c>
      <c r="O23" s="5" t="s">
        <v>83</v>
      </c>
    </row>
    <row r="24" ht="70" customHeight="1" spans="1:15">
      <c r="A24" s="5" t="s">
        <v>83</v>
      </c>
      <c r="B24" s="5" t="s">
        <v>83</v>
      </c>
      <c r="C24" s="5" t="s">
        <v>83</v>
      </c>
      <c r="D24" s="5" t="s">
        <v>83</v>
      </c>
      <c r="E24" s="5" t="s">
        <v>83</v>
      </c>
      <c r="F24" s="5" t="s">
        <v>83</v>
      </c>
      <c r="G24" s="5" t="s">
        <v>83</v>
      </c>
      <c r="H24" s="5" t="s">
        <v>83</v>
      </c>
      <c r="I24" s="5" t="s">
        <v>83</v>
      </c>
      <c r="J24" s="5" t="s">
        <v>83</v>
      </c>
      <c r="K24" s="5" t="s">
        <v>83</v>
      </c>
      <c r="L24" s="5" t="s">
        <v>83</v>
      </c>
      <c r="M24" s="6" t="s">
        <v>83</v>
      </c>
      <c r="N24" s="5" t="s">
        <v>83</v>
      </c>
      <c r="O24" s="5" t="s">
        <v>83</v>
      </c>
    </row>
    <row r="25" ht="70" customHeight="1" spans="1:15">
      <c r="A25" s="5" t="s">
        <v>83</v>
      </c>
      <c r="B25" s="5" t="s">
        <v>83</v>
      </c>
      <c r="C25" s="5" t="s">
        <v>83</v>
      </c>
      <c r="D25" s="5" t="s">
        <v>83</v>
      </c>
      <c r="E25" s="5" t="s">
        <v>83</v>
      </c>
      <c r="F25" s="5" t="s">
        <v>83</v>
      </c>
      <c r="G25" s="5" t="s">
        <v>83</v>
      </c>
      <c r="H25" s="5" t="s">
        <v>83</v>
      </c>
      <c r="I25" s="5" t="s">
        <v>83</v>
      </c>
      <c r="J25" s="5" t="s">
        <v>83</v>
      </c>
      <c r="K25" s="5" t="s">
        <v>83</v>
      </c>
      <c r="L25" s="5" t="s">
        <v>83</v>
      </c>
      <c r="M25" s="6" t="s">
        <v>83</v>
      </c>
      <c r="N25" s="5" t="s">
        <v>83</v>
      </c>
      <c r="O25" s="5" t="s">
        <v>83</v>
      </c>
    </row>
  </sheetData>
  <dataValidations count="2">
    <dataValidation type="list" sqref="D6:D25">
      <formula1>"Nghiêm trọng,Lớn,Vừa,Nhỏ"</formula1>
    </dataValidation>
    <dataValidation type="list" sqref="K6:K25">
      <formula1>"Mới,Đã xác nhận,Đang sửa,Chờ kiểm thử lại,Đóng,Mở lại"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0"/>
  <sheetViews>
    <sheetView showGridLines="0" workbookViewId="0">
      <pane ySplit="5" topLeftCell="A6" activePane="bottomLeft" state="frozen"/>
      <selection/>
      <selection pane="bottomLeft" activeCell="A1" sqref="A1"/>
    </sheetView>
  </sheetViews>
  <sheetFormatPr defaultColWidth="9" defaultRowHeight="13.8"/>
  <cols>
    <col min="1" max="1" width="16" customWidth="1"/>
    <col min="2" max="2" width="19" customWidth="1"/>
    <col min="3" max="3" width="25" customWidth="1"/>
    <col min="4" max="4" width="20" customWidth="1"/>
    <col min="5" max="5" width="22" customWidth="1"/>
    <col min="6" max="6" width="40" customWidth="1"/>
    <col min="7" max="7" width="16" customWidth="1"/>
    <col min="8" max="8" width="60" customWidth="1"/>
    <col min="9" max="9" width="34" customWidth="1"/>
    <col min="10" max="10" width="20" customWidth="1"/>
    <col min="11" max="11" width="45" customWidth="1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28" customHeight="1" spans="1:11">
      <c r="A2" s="2" t="s">
        <v>900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>
      <c r="A3" s="3" t="s">
        <v>901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ht="34" customHeight="1" spans="1:11">
      <c r="A5" s="4" t="s">
        <v>902</v>
      </c>
      <c r="B5" s="4" t="s">
        <v>59</v>
      </c>
      <c r="C5" s="4" t="s">
        <v>903</v>
      </c>
      <c r="D5" s="4" t="s">
        <v>904</v>
      </c>
      <c r="E5" s="4" t="s">
        <v>71</v>
      </c>
      <c r="F5" s="4" t="s">
        <v>905</v>
      </c>
      <c r="G5" s="4" t="s">
        <v>68</v>
      </c>
      <c r="H5" s="4" t="s">
        <v>69</v>
      </c>
      <c r="I5" s="4" t="s">
        <v>72</v>
      </c>
      <c r="J5" s="4" t="s">
        <v>73</v>
      </c>
      <c r="K5" s="4" t="s">
        <v>899</v>
      </c>
    </row>
    <row r="6" ht="70" customHeight="1" spans="1:11">
      <c r="A6" s="5" t="s">
        <v>83</v>
      </c>
      <c r="B6" s="5" t="s">
        <v>83</v>
      </c>
      <c r="C6" s="5" t="s">
        <v>83</v>
      </c>
      <c r="D6" s="6" t="s">
        <v>83</v>
      </c>
      <c r="E6" s="5" t="s">
        <v>83</v>
      </c>
      <c r="F6" s="5" t="s">
        <v>83</v>
      </c>
      <c r="G6" s="5" t="s">
        <v>83</v>
      </c>
      <c r="H6" s="5" t="s">
        <v>83</v>
      </c>
      <c r="I6" s="5" t="s">
        <v>83</v>
      </c>
      <c r="J6" s="5" t="s">
        <v>83</v>
      </c>
      <c r="K6" s="5" t="s">
        <v>83</v>
      </c>
    </row>
    <row r="7" ht="70" customHeight="1" spans="1:11">
      <c r="A7" s="5" t="s">
        <v>83</v>
      </c>
      <c r="B7" s="5" t="s">
        <v>83</v>
      </c>
      <c r="C7" s="5" t="s">
        <v>83</v>
      </c>
      <c r="D7" s="6" t="s">
        <v>83</v>
      </c>
      <c r="E7" s="5" t="s">
        <v>83</v>
      </c>
      <c r="F7" s="5" t="s">
        <v>83</v>
      </c>
      <c r="G7" s="5" t="s">
        <v>83</v>
      </c>
      <c r="H7" s="5" t="s">
        <v>83</v>
      </c>
      <c r="I7" s="5" t="s">
        <v>83</v>
      </c>
      <c r="J7" s="5" t="s">
        <v>83</v>
      </c>
      <c r="K7" s="5" t="s">
        <v>83</v>
      </c>
    </row>
    <row r="8" ht="70" customHeight="1" spans="1:11">
      <c r="A8" s="5" t="s">
        <v>83</v>
      </c>
      <c r="B8" s="5" t="s">
        <v>83</v>
      </c>
      <c r="C8" s="5" t="s">
        <v>83</v>
      </c>
      <c r="D8" s="6" t="s">
        <v>83</v>
      </c>
      <c r="E8" s="5" t="s">
        <v>83</v>
      </c>
      <c r="F8" s="5" t="s">
        <v>83</v>
      </c>
      <c r="G8" s="5" t="s">
        <v>83</v>
      </c>
      <c r="H8" s="5" t="s">
        <v>83</v>
      </c>
      <c r="I8" s="5" t="s">
        <v>83</v>
      </c>
      <c r="J8" s="5" t="s">
        <v>83</v>
      </c>
      <c r="K8" s="5" t="s">
        <v>83</v>
      </c>
    </row>
    <row r="9" ht="70" customHeight="1" spans="1:11">
      <c r="A9" s="5" t="s">
        <v>83</v>
      </c>
      <c r="B9" s="5" t="s">
        <v>83</v>
      </c>
      <c r="C9" s="5" t="s">
        <v>83</v>
      </c>
      <c r="D9" s="6" t="s">
        <v>83</v>
      </c>
      <c r="E9" s="5" t="s">
        <v>83</v>
      </c>
      <c r="F9" s="5" t="s">
        <v>83</v>
      </c>
      <c r="G9" s="5" t="s">
        <v>83</v>
      </c>
      <c r="H9" s="5" t="s">
        <v>83</v>
      </c>
      <c r="I9" s="5" t="s">
        <v>83</v>
      </c>
      <c r="J9" s="5" t="s">
        <v>83</v>
      </c>
      <c r="K9" s="5" t="s">
        <v>83</v>
      </c>
    </row>
    <row r="10" ht="70" customHeight="1" spans="1:11">
      <c r="A10" s="5" t="s">
        <v>83</v>
      </c>
      <c r="B10" s="5" t="s">
        <v>83</v>
      </c>
      <c r="C10" s="5" t="s">
        <v>83</v>
      </c>
      <c r="D10" s="6" t="s">
        <v>83</v>
      </c>
      <c r="E10" s="5" t="s">
        <v>83</v>
      </c>
      <c r="F10" s="5" t="s">
        <v>83</v>
      </c>
      <c r="G10" s="5" t="s">
        <v>83</v>
      </c>
      <c r="H10" s="5" t="s">
        <v>83</v>
      </c>
      <c r="I10" s="5" t="s">
        <v>83</v>
      </c>
      <c r="J10" s="5" t="s">
        <v>83</v>
      </c>
      <c r="K10" s="5" t="s">
        <v>83</v>
      </c>
    </row>
    <row r="11" ht="70" customHeight="1" spans="1:11">
      <c r="A11" s="5" t="s">
        <v>83</v>
      </c>
      <c r="B11" s="5" t="s">
        <v>83</v>
      </c>
      <c r="C11" s="5" t="s">
        <v>83</v>
      </c>
      <c r="D11" s="6" t="s">
        <v>83</v>
      </c>
      <c r="E11" s="5" t="s">
        <v>83</v>
      </c>
      <c r="F11" s="5" t="s">
        <v>83</v>
      </c>
      <c r="G11" s="5" t="s">
        <v>83</v>
      </c>
      <c r="H11" s="5" t="s">
        <v>83</v>
      </c>
      <c r="I11" s="5" t="s">
        <v>83</v>
      </c>
      <c r="J11" s="5" t="s">
        <v>83</v>
      </c>
      <c r="K11" s="5" t="s">
        <v>83</v>
      </c>
    </row>
    <row r="12" ht="70" customHeight="1" spans="1:11">
      <c r="A12" s="5" t="s">
        <v>83</v>
      </c>
      <c r="B12" s="5" t="s">
        <v>83</v>
      </c>
      <c r="C12" s="5" t="s">
        <v>83</v>
      </c>
      <c r="D12" s="6" t="s">
        <v>83</v>
      </c>
      <c r="E12" s="5" t="s">
        <v>83</v>
      </c>
      <c r="F12" s="5" t="s">
        <v>83</v>
      </c>
      <c r="G12" s="5" t="s">
        <v>83</v>
      </c>
      <c r="H12" s="5" t="s">
        <v>83</v>
      </c>
      <c r="I12" s="5" t="s">
        <v>83</v>
      </c>
      <c r="J12" s="5" t="s">
        <v>83</v>
      </c>
      <c r="K12" s="5" t="s">
        <v>83</v>
      </c>
    </row>
    <row r="13" ht="70" customHeight="1" spans="1:11">
      <c r="A13" s="5" t="s">
        <v>83</v>
      </c>
      <c r="B13" s="5" t="s">
        <v>83</v>
      </c>
      <c r="C13" s="5" t="s">
        <v>83</v>
      </c>
      <c r="D13" s="6" t="s">
        <v>83</v>
      </c>
      <c r="E13" s="5" t="s">
        <v>83</v>
      </c>
      <c r="F13" s="5" t="s">
        <v>83</v>
      </c>
      <c r="G13" s="5" t="s">
        <v>83</v>
      </c>
      <c r="H13" s="5" t="s">
        <v>83</v>
      </c>
      <c r="I13" s="5" t="s">
        <v>83</v>
      </c>
      <c r="J13" s="5" t="s">
        <v>83</v>
      </c>
      <c r="K13" s="5" t="s">
        <v>83</v>
      </c>
    </row>
    <row r="14" ht="70" customHeight="1" spans="1:11">
      <c r="A14" s="5" t="s">
        <v>83</v>
      </c>
      <c r="B14" s="5" t="s">
        <v>83</v>
      </c>
      <c r="C14" s="5" t="s">
        <v>83</v>
      </c>
      <c r="D14" s="6" t="s">
        <v>83</v>
      </c>
      <c r="E14" s="5" t="s">
        <v>83</v>
      </c>
      <c r="F14" s="5" t="s">
        <v>83</v>
      </c>
      <c r="G14" s="5" t="s">
        <v>83</v>
      </c>
      <c r="H14" s="5" t="s">
        <v>83</v>
      </c>
      <c r="I14" s="5" t="s">
        <v>83</v>
      </c>
      <c r="J14" s="5" t="s">
        <v>83</v>
      </c>
      <c r="K14" s="5" t="s">
        <v>83</v>
      </c>
    </row>
    <row r="15" ht="70" customHeight="1" spans="1:11">
      <c r="A15" s="5" t="s">
        <v>83</v>
      </c>
      <c r="B15" s="5" t="s">
        <v>83</v>
      </c>
      <c r="C15" s="5" t="s">
        <v>83</v>
      </c>
      <c r="D15" s="6" t="s">
        <v>83</v>
      </c>
      <c r="E15" s="5" t="s">
        <v>83</v>
      </c>
      <c r="F15" s="5" t="s">
        <v>83</v>
      </c>
      <c r="G15" s="5" t="s">
        <v>83</v>
      </c>
      <c r="H15" s="5" t="s">
        <v>83</v>
      </c>
      <c r="I15" s="5" t="s">
        <v>83</v>
      </c>
      <c r="J15" s="5" t="s">
        <v>83</v>
      </c>
      <c r="K15" s="5" t="s">
        <v>83</v>
      </c>
    </row>
    <row r="16" ht="70" customHeight="1" spans="1:11">
      <c r="A16" s="5" t="s">
        <v>83</v>
      </c>
      <c r="B16" s="5" t="s">
        <v>83</v>
      </c>
      <c r="C16" s="5" t="s">
        <v>83</v>
      </c>
      <c r="D16" s="6" t="s">
        <v>83</v>
      </c>
      <c r="E16" s="5" t="s">
        <v>83</v>
      </c>
      <c r="F16" s="5" t="s">
        <v>83</v>
      </c>
      <c r="G16" s="5" t="s">
        <v>83</v>
      </c>
      <c r="H16" s="5" t="s">
        <v>83</v>
      </c>
      <c r="I16" s="5" t="s">
        <v>83</v>
      </c>
      <c r="J16" s="5" t="s">
        <v>83</v>
      </c>
      <c r="K16" s="5" t="s">
        <v>83</v>
      </c>
    </row>
    <row r="17" ht="70" customHeight="1" spans="1:11">
      <c r="A17" s="5" t="s">
        <v>83</v>
      </c>
      <c r="B17" s="5" t="s">
        <v>83</v>
      </c>
      <c r="C17" s="5" t="s">
        <v>83</v>
      </c>
      <c r="D17" s="6" t="s">
        <v>83</v>
      </c>
      <c r="E17" s="5" t="s">
        <v>83</v>
      </c>
      <c r="F17" s="5" t="s">
        <v>83</v>
      </c>
      <c r="G17" s="5" t="s">
        <v>83</v>
      </c>
      <c r="H17" s="5" t="s">
        <v>83</v>
      </c>
      <c r="I17" s="5" t="s">
        <v>83</v>
      </c>
      <c r="J17" s="5" t="s">
        <v>83</v>
      </c>
      <c r="K17" s="5" t="s">
        <v>83</v>
      </c>
    </row>
    <row r="18" ht="70" customHeight="1" spans="1:11">
      <c r="A18" s="5" t="s">
        <v>83</v>
      </c>
      <c r="B18" s="5" t="s">
        <v>83</v>
      </c>
      <c r="C18" s="5" t="s">
        <v>83</v>
      </c>
      <c r="D18" s="6" t="s">
        <v>83</v>
      </c>
      <c r="E18" s="5" t="s">
        <v>83</v>
      </c>
      <c r="F18" s="5" t="s">
        <v>83</v>
      </c>
      <c r="G18" s="5" t="s">
        <v>83</v>
      </c>
      <c r="H18" s="5" t="s">
        <v>83</v>
      </c>
      <c r="I18" s="5" t="s">
        <v>83</v>
      </c>
      <c r="J18" s="5" t="s">
        <v>83</v>
      </c>
      <c r="K18" s="5" t="s">
        <v>83</v>
      </c>
    </row>
    <row r="19" ht="70" customHeight="1" spans="1:11">
      <c r="A19" s="5" t="s">
        <v>83</v>
      </c>
      <c r="B19" s="5" t="s">
        <v>83</v>
      </c>
      <c r="C19" s="5" t="s">
        <v>83</v>
      </c>
      <c r="D19" s="6" t="s">
        <v>83</v>
      </c>
      <c r="E19" s="5" t="s">
        <v>83</v>
      </c>
      <c r="F19" s="5" t="s">
        <v>83</v>
      </c>
      <c r="G19" s="5" t="s">
        <v>83</v>
      </c>
      <c r="H19" s="5" t="s">
        <v>83</v>
      </c>
      <c r="I19" s="5" t="s">
        <v>83</v>
      </c>
      <c r="J19" s="5" t="s">
        <v>83</v>
      </c>
      <c r="K19" s="5" t="s">
        <v>83</v>
      </c>
    </row>
    <row r="20" ht="70" customHeight="1" spans="1:11">
      <c r="A20" s="5" t="s">
        <v>83</v>
      </c>
      <c r="B20" s="5" t="s">
        <v>83</v>
      </c>
      <c r="C20" s="5" t="s">
        <v>83</v>
      </c>
      <c r="D20" s="6" t="s">
        <v>83</v>
      </c>
      <c r="E20" s="5" t="s">
        <v>83</v>
      </c>
      <c r="F20" s="5" t="s">
        <v>83</v>
      </c>
      <c r="G20" s="5" t="s">
        <v>83</v>
      </c>
      <c r="H20" s="5" t="s">
        <v>83</v>
      </c>
      <c r="I20" s="5" t="s">
        <v>83</v>
      </c>
      <c r="J20" s="5" t="s">
        <v>83</v>
      </c>
      <c r="K20" s="5" t="s">
        <v>83</v>
      </c>
    </row>
    <row r="21" ht="70" customHeight="1" spans="1:11">
      <c r="A21" s="5" t="s">
        <v>83</v>
      </c>
      <c r="B21" s="5" t="s">
        <v>83</v>
      </c>
      <c r="C21" s="5" t="s">
        <v>83</v>
      </c>
      <c r="D21" s="6" t="s">
        <v>83</v>
      </c>
      <c r="E21" s="5" t="s">
        <v>83</v>
      </c>
      <c r="F21" s="5" t="s">
        <v>83</v>
      </c>
      <c r="G21" s="5" t="s">
        <v>83</v>
      </c>
      <c r="H21" s="5" t="s">
        <v>83</v>
      </c>
      <c r="I21" s="5" t="s">
        <v>83</v>
      </c>
      <c r="J21" s="5" t="s">
        <v>83</v>
      </c>
      <c r="K21" s="5" t="s">
        <v>83</v>
      </c>
    </row>
    <row r="22" ht="70" customHeight="1" spans="1:11">
      <c r="A22" s="5" t="s">
        <v>83</v>
      </c>
      <c r="B22" s="5" t="s">
        <v>83</v>
      </c>
      <c r="C22" s="5" t="s">
        <v>83</v>
      </c>
      <c r="D22" s="6" t="s">
        <v>83</v>
      </c>
      <c r="E22" s="5" t="s">
        <v>83</v>
      </c>
      <c r="F22" s="5" t="s">
        <v>83</v>
      </c>
      <c r="G22" s="5" t="s">
        <v>83</v>
      </c>
      <c r="H22" s="5" t="s">
        <v>83</v>
      </c>
      <c r="I22" s="5" t="s">
        <v>83</v>
      </c>
      <c r="J22" s="5" t="s">
        <v>83</v>
      </c>
      <c r="K22" s="5" t="s">
        <v>83</v>
      </c>
    </row>
    <row r="23" ht="70" customHeight="1" spans="1:11">
      <c r="A23" s="5" t="s">
        <v>83</v>
      </c>
      <c r="B23" s="5" t="s">
        <v>83</v>
      </c>
      <c r="C23" s="5" t="s">
        <v>83</v>
      </c>
      <c r="D23" s="6" t="s">
        <v>83</v>
      </c>
      <c r="E23" s="5" t="s">
        <v>83</v>
      </c>
      <c r="F23" s="5" t="s">
        <v>83</v>
      </c>
      <c r="G23" s="5" t="s">
        <v>83</v>
      </c>
      <c r="H23" s="5" t="s">
        <v>83</v>
      </c>
      <c r="I23" s="5" t="s">
        <v>83</v>
      </c>
      <c r="J23" s="5" t="s">
        <v>83</v>
      </c>
      <c r="K23" s="5" t="s">
        <v>83</v>
      </c>
    </row>
    <row r="24" ht="70" customHeight="1" spans="1:11">
      <c r="A24" s="5" t="s">
        <v>83</v>
      </c>
      <c r="B24" s="5" t="s">
        <v>83</v>
      </c>
      <c r="C24" s="5" t="s">
        <v>83</v>
      </c>
      <c r="D24" s="6" t="s">
        <v>83</v>
      </c>
      <c r="E24" s="5" t="s">
        <v>83</v>
      </c>
      <c r="F24" s="5" t="s">
        <v>83</v>
      </c>
      <c r="G24" s="5" t="s">
        <v>83</v>
      </c>
      <c r="H24" s="5" t="s">
        <v>83</v>
      </c>
      <c r="I24" s="5" t="s">
        <v>83</v>
      </c>
      <c r="J24" s="5" t="s">
        <v>83</v>
      </c>
      <c r="K24" s="5" t="s">
        <v>83</v>
      </c>
    </row>
    <row r="25" ht="70" customHeight="1" spans="1:11">
      <c r="A25" s="5" t="s">
        <v>83</v>
      </c>
      <c r="B25" s="5" t="s">
        <v>83</v>
      </c>
      <c r="C25" s="5" t="s">
        <v>83</v>
      </c>
      <c r="D25" s="6" t="s">
        <v>83</v>
      </c>
      <c r="E25" s="5" t="s">
        <v>83</v>
      </c>
      <c r="F25" s="5" t="s">
        <v>83</v>
      </c>
      <c r="G25" s="5" t="s">
        <v>83</v>
      </c>
      <c r="H25" s="5" t="s">
        <v>83</v>
      </c>
      <c r="I25" s="5" t="s">
        <v>83</v>
      </c>
      <c r="J25" s="5" t="s">
        <v>83</v>
      </c>
      <c r="K25" s="5" t="s">
        <v>83</v>
      </c>
    </row>
    <row r="26" ht="70" customHeight="1" spans="1:11">
      <c r="A26" s="5" t="s">
        <v>83</v>
      </c>
      <c r="B26" s="5" t="s">
        <v>83</v>
      </c>
      <c r="C26" s="5" t="s">
        <v>83</v>
      </c>
      <c r="D26" s="6" t="s">
        <v>83</v>
      </c>
      <c r="E26" s="5" t="s">
        <v>83</v>
      </c>
      <c r="F26" s="5" t="s">
        <v>83</v>
      </c>
      <c r="G26" s="5" t="s">
        <v>83</v>
      </c>
      <c r="H26" s="5" t="s">
        <v>83</v>
      </c>
      <c r="I26" s="5" t="s">
        <v>83</v>
      </c>
      <c r="J26" s="5" t="s">
        <v>83</v>
      </c>
      <c r="K26" s="5" t="s">
        <v>83</v>
      </c>
    </row>
    <row r="27" ht="70" customHeight="1" spans="1:11">
      <c r="A27" s="5" t="s">
        <v>83</v>
      </c>
      <c r="B27" s="5" t="s">
        <v>83</v>
      </c>
      <c r="C27" s="5" t="s">
        <v>83</v>
      </c>
      <c r="D27" s="6" t="s">
        <v>83</v>
      </c>
      <c r="E27" s="5" t="s">
        <v>83</v>
      </c>
      <c r="F27" s="5" t="s">
        <v>83</v>
      </c>
      <c r="G27" s="5" t="s">
        <v>83</v>
      </c>
      <c r="H27" s="5" t="s">
        <v>83</v>
      </c>
      <c r="I27" s="5" t="s">
        <v>83</v>
      </c>
      <c r="J27" s="5" t="s">
        <v>83</v>
      </c>
      <c r="K27" s="5" t="s">
        <v>83</v>
      </c>
    </row>
    <row r="28" ht="70" customHeight="1" spans="1:11">
      <c r="A28" s="5" t="s">
        <v>83</v>
      </c>
      <c r="B28" s="5" t="s">
        <v>83</v>
      </c>
      <c r="C28" s="5" t="s">
        <v>83</v>
      </c>
      <c r="D28" s="6" t="s">
        <v>83</v>
      </c>
      <c r="E28" s="5" t="s">
        <v>83</v>
      </c>
      <c r="F28" s="5" t="s">
        <v>83</v>
      </c>
      <c r="G28" s="5" t="s">
        <v>83</v>
      </c>
      <c r="H28" s="5" t="s">
        <v>83</v>
      </c>
      <c r="I28" s="5" t="s">
        <v>83</v>
      </c>
      <c r="J28" s="5" t="s">
        <v>83</v>
      </c>
      <c r="K28" s="5" t="s">
        <v>83</v>
      </c>
    </row>
    <row r="29" ht="70" customHeight="1" spans="1:11">
      <c r="A29" s="5" t="s">
        <v>83</v>
      </c>
      <c r="B29" s="5" t="s">
        <v>83</v>
      </c>
      <c r="C29" s="5" t="s">
        <v>83</v>
      </c>
      <c r="D29" s="6" t="s">
        <v>83</v>
      </c>
      <c r="E29" s="5" t="s">
        <v>83</v>
      </c>
      <c r="F29" s="5" t="s">
        <v>83</v>
      </c>
      <c r="G29" s="5" t="s">
        <v>83</v>
      </c>
      <c r="H29" s="5" t="s">
        <v>83</v>
      </c>
      <c r="I29" s="5" t="s">
        <v>83</v>
      </c>
      <c r="J29" s="5" t="s">
        <v>83</v>
      </c>
      <c r="K29" s="5" t="s">
        <v>83</v>
      </c>
    </row>
    <row r="30" ht="70" customHeight="1" spans="1:11">
      <c r="A30" s="5" t="s">
        <v>83</v>
      </c>
      <c r="B30" s="5" t="s">
        <v>83</v>
      </c>
      <c r="C30" s="5" t="s">
        <v>83</v>
      </c>
      <c r="D30" s="6" t="s">
        <v>83</v>
      </c>
      <c r="E30" s="5" t="s">
        <v>83</v>
      </c>
      <c r="F30" s="5" t="s">
        <v>83</v>
      </c>
      <c r="G30" s="5" t="s">
        <v>83</v>
      </c>
      <c r="H30" s="5" t="s">
        <v>83</v>
      </c>
      <c r="I30" s="5" t="s">
        <v>83</v>
      </c>
      <c r="J30" s="5" t="s">
        <v>83</v>
      </c>
      <c r="K30" s="5" t="s">
        <v>83</v>
      </c>
    </row>
  </sheetData>
  <dataValidations count="1">
    <dataValidation type="list" sqref="G6:G30">
      <formula1>"Not Run,Pass,Fail,Blocked,N/A"</formula1>
    </dataValidation>
  </dataValidation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Tong quan</vt:lpstr>
      <vt:lpstr>Test cases</vt:lpstr>
      <vt:lpstr>Du lieu</vt:lpstr>
      <vt:lpstr>AI du lieu</vt:lpstr>
      <vt:lpstr>Loi</vt:lpstr>
      <vt:lpstr>Nhat ky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Đoàn Tuấn Anh</cp:lastModifiedBy>
  <dcterms:created xsi:type="dcterms:W3CDTF">2026-10-04T01:14:23Z</dcterms:created>
  <dcterms:modified xsi:type="dcterms:W3CDTF">2026-10-04T01:16:09Z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1F2116235E6348E7956269797B06A0B3_13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