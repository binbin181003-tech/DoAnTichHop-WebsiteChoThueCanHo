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Tong quan" sheetId="1" r:id="rId1"/>
    <sheet name="Test cases" sheetId="2" r:id="rId2"/>
    <sheet name="Du lieu" sheetId="3" r:id="rId3"/>
    <sheet name="Loi" sheetId="4" r:id="rId4"/>
    <sheet name="Nhat k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<sst xmlns="http://schemas.openxmlformats.org/spreadsheetml/2006/main" count="2488" uniqueCount="726">
  <si>
    <t>Test Cases Sprint 3</t>
  </si>
  <si>
    <t>Người thực hiện</t>
  </si>
  <si>
    <t>Hoàng Đại Hợp</t>
  </si>
  <si>
    <t>Môi trường</t>
  </si>
  <si>
    <t>Localhost</t>
  </si>
  <si>
    <t>Theo dõi lần chạy hiện tại</t>
  </si>
  <si>
    <t>Số ca</t>
  </si>
  <si>
    <t>Ưu tiên</t>
  </si>
  <si>
    <t>Ý nghĩa</t>
  </si>
  <si>
    <t>Cách sử dụng</t>
  </si>
  <si>
    <t>Tổng ca</t>
  </si>
  <si>
    <t>P1</t>
  </si>
  <si>
    <t>Quan trọng</t>
  </si>
  <si>
    <t>Chạy đầu tiên; cần 100% ca P1 trong phạm vi Pass.</t>
  </si>
  <si>
    <t>Not Run</t>
  </si>
  <si>
    <t>P2</t>
  </si>
  <si>
    <t>Thông thường</t>
  </si>
  <si>
    <t>Chạy đủ để bao phủ dữ liệu hợp lệ, lỗi và biên.</t>
  </si>
  <si>
    <t>Pass</t>
  </si>
  <si>
    <t>Ô vàng</t>
  </si>
  <si>
    <t>Hợp điền khi chạy</t>
  </si>
  <si>
    <t>Chưa chạy = Not Run. Không ghi Pass dựa trên chức năng đã làm xong.</t>
  </si>
  <si>
    <t>Fail</t>
  </si>
  <si>
    <t>Blocked</t>
  </si>
  <si>
    <t>N/A</t>
  </si>
  <si>
    <t>Hướng dẫn chạy: xem dưới bảng Du lieu.</t>
  </si>
  <si>
    <t>Trong phạm vi</t>
  </si>
  <si>
    <t>Tỷ lệ đạt trong phạm vi</t>
  </si>
  <si>
    <t>Ca P1 trong phạm vi</t>
  </si>
  <si>
    <t>Ca P1 đã Pass</t>
  </si>
  <si>
    <t>Độ bao phủ phạm vi Test Plan</t>
  </si>
  <si>
    <t>F05 Mapbox/vị trí</t>
  </si>
  <si>
    <t>S3-TC001 đến S3-TC017</t>
  </si>
  <si>
    <t>F06 Bình luận</t>
  </si>
  <si>
    <t>S3-TC018 đến S3-TC027</t>
  </si>
  <si>
    <t>F06 Đánh giá</t>
  </si>
  <si>
    <t>S3-TC028 đến S3-TC036</t>
  </si>
  <si>
    <t>F06 Báo cáo</t>
  </si>
  <si>
    <t>S3-TC037 đến S3-TC041</t>
  </si>
  <si>
    <t>F07 Gói</t>
  </si>
  <si>
    <t>S3-TC042 đến S3-TC046</t>
  </si>
  <si>
    <t>F07 Thanh toán</t>
  </si>
  <si>
    <t>S3-TC047 đến S3-TC057</t>
  </si>
  <si>
    <t>F07 Gói/giao dịch</t>
  </si>
  <si>
    <t>S3-TC058 đến S3-TC062</t>
  </si>
  <si>
    <t>F08 Quyền quản trị</t>
  </si>
  <si>
    <t>S3-TC063 đến S3-TC072</t>
  </si>
  <si>
    <t>F08 Tài khoản</t>
  </si>
  <si>
    <t>S3-TC073 đến S3-TC075</t>
  </si>
  <si>
    <t>F08 Danh mục</t>
  </si>
  <si>
    <t>S3-TC076 đến S3-TC079</t>
  </si>
  <si>
    <t>F08 Tin đăng</t>
  </si>
  <si>
    <t>S3-TC080 đến S3-TC082</t>
  </si>
  <si>
    <t>F08 Gói</t>
  </si>
  <si>
    <t>S3-TC083 đến S3-TC087</t>
  </si>
  <si>
    <t>F08 Kiểm duyệt tương tác</t>
  </si>
  <si>
    <t>S3-TC088 đến S3-TC091</t>
  </si>
  <si>
    <t>F09 Thống kê</t>
  </si>
  <si>
    <t>S3-TC092 đến S3-TC100</t>
  </si>
  <si>
    <t>F01–F04 Hồi quy</t>
  </si>
  <si>
    <t>S3-TC101 đến S3-TC105</t>
  </si>
  <si>
    <t>SmartLease AI – Test Cases Sprint 3</t>
  </si>
  <si>
    <t>Hoàng Đại Hợp thực hiện. Ghi lần chạy hiện tại tại K:Q; lưu từng lần chạy vào Nhat ky.</t>
  </si>
  <si>
    <t>Mã ca</t>
  </si>
  <si>
    <t>Phạm vi</t>
  </si>
  <si>
    <t>Ca mẫu Test Plan</t>
  </si>
  <si>
    <t>Tên ca kiểm thử</t>
  </si>
  <si>
    <t>Điều kiện trước</t>
  </si>
  <si>
    <t>Dữ liệu thử</t>
  </si>
  <si>
    <t>Các bước thực hiện</t>
  </si>
  <si>
    <t>Kết quả mong đợi</t>
  </si>
  <si>
    <t>Dọn dẹp/khôi phục</t>
  </si>
  <si>
    <t>Trạng thái</t>
  </si>
  <si>
    <t>Kết quả thực tế</t>
  </si>
  <si>
    <t>Ngày chạy</t>
  </si>
  <si>
    <t>Build/commit</t>
  </si>
  <si>
    <t>Bằng chứng</t>
  </si>
  <si>
    <t>Mã lỗi</t>
  </si>
  <si>
    <t>Ghi chú/điểm cần chốt</t>
  </si>
  <si>
    <t>S3-TC001</t>
  </si>
  <si>
    <t>S3-TC01</t>
  </si>
  <si>
    <t>Bản đồ tải thành công</t>
  </si>
  <si>
    <t>Mapbox được cấu hình thử; Internet hoạt động; có vị trí chuẩn MAP_A/MAP_B và tọa độ đã xác nhận.</t>
  </si>
  <si>
    <t>Tin MAP_A có tọa độ chuẩn.</t>
  </si>
  <si>
    <t>1. Mở màn hình bản đồ
2. Chờ tải
3. Kiểm tra nền bản đồ và marker</t>
  </si>
  <si>
    <t>Bản đồ tải; marker của tin hiển thị; không lỗi chặn UI.</t>
  </si>
  <si>
    <t>Giữ dữ liệu thử để đối chiếu; dọn sau khi lưu bằng chứng.</t>
  </si>
  <si>
    <t/>
  </si>
  <si>
    <t>S3-TC002</t>
  </si>
  <si>
    <t>Marker đúng tọa độ</t>
  </si>
  <si>
    <t>MAP_A; kinh độ/vĩ độ ghi ở Du lieu.</t>
  </si>
  <si>
    <t>1. Mở bản đồ
2. Đối chiếu vị trí marker với tọa độ chuẩn
3. Xem dữ liệu API</t>
  </si>
  <si>
    <t>Marker ở đúng vị trí theo dữ liệu; không đảo kinh/vĩ độ.</t>
  </si>
  <si>
    <t>S3-TC003</t>
  </si>
  <si>
    <t>Bấm marker mở đúng tin</t>
  </si>
  <si>
    <t>MAP_A và MAP_B khác ID, tiêu đề và tọa độ.</t>
  </si>
  <si>
    <t>1. Bấm marker A
2. Mở chi tiết
3. Quay lại bấm marker B</t>
  </si>
  <si>
    <t>Mỗi marker dẫn đúng ID và thông tin tin tương ứng.</t>
  </si>
  <si>
    <t>S3-TC004</t>
  </si>
  <si>
    <t>Tin thiếu tọa độ</t>
  </si>
  <si>
    <t>Tin thử có tọa độ rỗng theo cách tạo dữ liệu được hỗ trợ.</t>
  </si>
  <si>
    <t>1. Mở màn hình bản đồ và chi tiết tin thiếu tọa độ</t>
  </si>
  <si>
    <t>Không vẽ tọa độ giả 0,0; có xử lý thiếu vị trí; trang vẫn dùng được.</t>
  </si>
  <si>
    <t>S3-TC005</t>
  </si>
  <si>
    <t>Vĩ độ ngoài phạm vi</t>
  </si>
  <si>
    <t>Vĩ độ = 91; thành phần tọa độ còn lại hợp lệ.</t>
  </si>
  <si>
    <t>1. Gửi bộ tọa độ sai qua request thử
2. Đọc phản hồi
3. Mở bản đồ</t>
  </si>
  <si>
    <t>Dữ liệu sai bị từ chối/loại theo thiết kế; không vẽ điểm sai hoặc crash.</t>
  </si>
  <si>
    <t>S3-TC006</t>
  </si>
  <si>
    <t>Kinh độ ngoài phạm vi</t>
  </si>
  <si>
    <t>Kinh độ = 181; thành phần tọa độ còn lại hợp lệ.</t>
  </si>
  <si>
    <t>S3-TC007</t>
  </si>
  <si>
    <t>Bản đồ không có tin</t>
  </si>
  <si>
    <t>Điều kiện lọc không có tin hợp lệ.</t>
  </si>
  <si>
    <t>1. Mở bản đồ với tập rỗng</t>
  </si>
  <si>
    <t>Bản đồ/trạng thái rỗng rõ; không còn marker cũ.</t>
  </si>
  <si>
    <t>S3-TC008</t>
  </si>
  <si>
    <t>Phóng to/thu nhỏ/di chuyển</t>
  </si>
  <si>
    <t>Bản đồ có MAP_A/MAP_B.</t>
  </si>
  <si>
    <t>1. Zoom in
2. Zoom out
3. Kéo bản đồ
4. Bấm lại marker</t>
  </si>
  <si>
    <t>Bản đồ và marker thao tác được; không mở nhầm tin.</t>
  </si>
  <si>
    <t>S3-TC009</t>
  </si>
  <si>
    <t>S3-TC02</t>
  </si>
  <si>
    <t>Cho phép định vị</t>
  </si>
  <si>
    <t>Trình duyệt hỗ trợ quyền vị trí; có thể dùng DevTools Sensors với vị trí giả lập có chủ đích.</t>
  </si>
  <si>
    <t>Vị trí thử được đặt trong Sensors và ghi tọa độ.</t>
  </si>
  <si>
    <t>1. Bật vị trí thử
2. Cho phép quyền
3. Dùng chức năng vị trí</t>
  </si>
  <si>
    <t>Vị trí hiển thị khớp tọa độ thử; trạng thái cấp quyền đúng.</t>
  </si>
  <si>
    <t>Reset Sensors và quyền trình duyệt.</t>
  </si>
  <si>
    <t>S3-TC010</t>
  </si>
  <si>
    <t>Từ chối định vị</t>
  </si>
  <si>
    <t>Quyền vị trí bị từ chối.</t>
  </si>
  <si>
    <t>1. Reset quyền
2. Chọn từ chối khi được hỏi
3. Dùng chức năng cần vị trí</t>
  </si>
  <si>
    <t>Thông báo phù hợp; không lấy tọa độ giả; phần không cần vị trí vẫn dùng được.</t>
  </si>
  <si>
    <t>Reset quyền.</t>
  </si>
  <si>
    <t>S3-TC011</t>
  </si>
  <si>
    <t>Vị trí không khả dụng</t>
  </si>
  <si>
    <t>Sensors Location unavailable.</t>
  </si>
  <si>
    <t>1. Đặt vị trí không khả dụng
2. Yêu cầu định vị</t>
  </si>
  <si>
    <t>Có thông báo không lấy được vị trí; không tải vô hạn.</t>
  </si>
  <si>
    <t>Reset Sensors.</t>
  </si>
  <si>
    <t>S3-TC012</t>
  </si>
  <si>
    <t>Cấp lại quyền sau từ chối</t>
  </si>
  <si>
    <t>Trình duyệt đã chặn vị trí.</t>
  </si>
  <si>
    <t>1. Đổi quyền thành cho phép
2. Thử lại/Refresh
3. Lấy vị trí</t>
  </si>
  <si>
    <t>Ứng dụng cập nhật theo quyền mới, lấy được vị trí thử.</t>
  </si>
  <si>
    <t>S3-TC013</t>
  </si>
  <si>
    <t>Tuyến đường đúng điểm đầu/cuối</t>
  </si>
  <si>
    <t>Đã có điểm xuất phát và tin đích MAP_A; chức năng tuyến đường thuộc bản nghiệm thu.</t>
  </si>
  <si>
    <t>Điểm bắt đầu Sensors; điểm kết thúc MAP_A.</t>
  </si>
  <si>
    <t>1. Lấy vị trí
2. Chọn MAP_A
3. Yêu cầu tuyến đường
4. So sánh hai đầu tuyến</t>
  </si>
  <si>
    <t>Tuyến bắt đầu/kết thúc tương ứng vị trí đã chọn; không nhầm tin.</t>
  </si>
  <si>
    <t>S3-TC014</t>
  </si>
  <si>
    <t>Đơn vị quãng đường và thời gian</t>
  </si>
  <si>
    <t>Response tuyến đường mẫu thật có distance/duration.</t>
  </si>
  <si>
    <t>1. Lấy tuyến đường
2. Ghi response
3. Đối chiếu chuyển đổi đơn vị trên UI</t>
  </si>
  <si>
    <t>Quãng đường/thời gian đúng chuyển đổi và làm tròn đã chốt; hiển thị đơn vị rõ.</t>
  </si>
  <si>
    <t>S3-TC015</t>
  </si>
  <si>
    <t>Không có tuyến đường</t>
  </si>
  <si>
    <t>Cặp tọa độ hoặc mock no-route do Bin hỗ trợ.</t>
  </si>
  <si>
    <t>1. Yêu cầu tuyến đường không khả dụng
2. Xem UI</t>
  </si>
  <si>
    <t>Thông báo không có tuyến; không hiển thị tuyến cũ như kết quả mới.</t>
  </si>
  <si>
    <t>Tắt mock.</t>
  </si>
  <si>
    <t>S3-TC016</t>
  </si>
  <si>
    <t>Dịch vụ Mapbox lỗi</t>
  </si>
  <si>
    <t>Chặn request Mapbox bằng DevTools ở localhost.</t>
  </si>
  <si>
    <t>1. Chặn request
2. Mở bản đồ/tuyến
3. Quan sát
4. Bỏ chặn và tải lại</t>
  </si>
  <si>
    <t>Có trạng thái lỗi; không treo toàn trang; phục hồi sau bỏ chặn.</t>
  </si>
  <si>
    <t>Bỏ chặn request.</t>
  </si>
  <si>
    <t>S3-TC017</t>
  </si>
  <si>
    <t>Mapbox token sai</t>
  </si>
  <si>
    <t>Cấu hình token thử không hợp lệ do Bin hỗ trợ.</t>
  </si>
  <si>
    <t>1. Lưu cấu hình cũ
2. Dùng token thử sai
3. Mở bản đồ</t>
  </si>
  <si>
    <t>Lỗi được xử lý; không hiển thị vị trí/tuyến giả.</t>
  </si>
  <si>
    <t>Khôi phục token; không đưa token vào bằng chứng.</t>
  </si>
  <si>
    <t>S3-TC018</t>
  </si>
  <si>
    <t>S3-TC03</t>
  </si>
  <si>
    <t>Gửi bình luận hợp lệ</t>
  </si>
  <si>
    <t>A/B hoạt động; tin P_PUBLIC công khai; quy tắc bình luận đã chốt.</t>
  </si>
  <si>
    <t>A; nội dung TEST_Bình luận có dấu.</t>
  </si>
  <si>
    <t>1. Mở tin
2. Nhập bình luận
3. Gửi
4. Refresh</t>
  </si>
  <si>
    <t>Bình luận lưu đúng nội dung, tác giả A và tin.</t>
  </si>
  <si>
    <t>S3-TC019</t>
  </si>
  <si>
    <t>Bình luận rỗng</t>
  </si>
  <si>
    <t>Chuỗi rỗng.</t>
  </si>
  <si>
    <t>1. Mở tin
2. Để trống bình luận
3. Gửi</t>
  </si>
  <si>
    <t>Báo thiếu nội dung; không tạo bình luận rỗng.</t>
  </si>
  <si>
    <t>S3-TC020</t>
  </si>
  <si>
    <t>Bình luận chỉ khoảng trắng</t>
  </si>
  <si>
    <t>Ba khoảng trắng.</t>
  </si>
  <si>
    <t>1. Nhập khoảng trắng
2. Gửi</t>
  </si>
  <si>
    <t>Không tạo bình luận vô nghĩa sau trim.</t>
  </si>
  <si>
    <t>S3-TC021</t>
  </si>
  <si>
    <t>Bình luận độ dài Cmax</t>
  </si>
  <si>
    <t>Chuỗi Cmax ký tự theo giới hạn đã chốt.</t>
  </si>
  <si>
    <t>1. Nhập chuỗi đúng độ dài
2. Gửi
3. Đọc lại</t>
  </si>
  <si>
    <t>Lưu đủ nội dung tại giới hạn.</t>
  </si>
  <si>
    <t>S3-TC022</t>
  </si>
  <si>
    <t>Bình luận độ dài Cmax+1</t>
  </si>
  <si>
    <t>Chuỗi Cmax+1 ký tự theo giới hạn đã chốt.</t>
  </si>
  <si>
    <t>Từ chối vượt giới hạn; không cắt âm thầm.</t>
  </si>
  <si>
    <t>S3-TC023</t>
  </si>
  <si>
    <t>Khách không bình luận</t>
  </si>
  <si>
    <t>Request bình luận thật không có xác thực.</t>
  </si>
  <si>
    <t>1. Logout
2. Thử gửi bình luận trên UI
3. Gửi request không xác thực</t>
  </si>
  <si>
    <t>Yêu cầu đăng nhập; backend từ chối tạo bình luận.</t>
  </si>
  <si>
    <t>S3-TC024</t>
  </si>
  <si>
    <t>Bình luận gửi lặp</t>
  </si>
  <si>
    <t>TEST_COMMENT_DOUBLE.</t>
  </si>
  <si>
    <t>1. Nhập nội dung
2. Bấm gửi nhanh hai lần
3. Refresh</t>
  </si>
  <si>
    <t>Xử lý thao tác lặp đúng quy tắc; không tạo trùng ngoài ý muốn.</t>
  </si>
  <si>
    <t>S3-TC025</t>
  </si>
  <si>
    <t>B không sửa bình luận A</t>
  </si>
  <si>
    <t>Bình luận A; request bằng B.</t>
  </si>
  <si>
    <t>1. B thử sửa bình luận A qua API
2. A đọc lại</t>
  </si>
  <si>
    <t>Backend từ chối; nội dung bình luận A không đổi.</t>
  </si>
  <si>
    <t>S3-TC026</t>
  </si>
  <si>
    <t>B không xóa bình luận A</t>
  </si>
  <si>
    <t>Bình luận A; request xóa bằng B.</t>
  </si>
  <si>
    <t>1. B gửi request xóa bình luận A
2. Refresh tin</t>
  </si>
  <si>
    <t>Backend từ chối; bình luận A còn nguyên.</t>
  </si>
  <si>
    <t>S3-TC027</t>
  </si>
  <si>
    <t>Nội dung bình luận được hiển thị an toàn</t>
  </si>
  <si>
    <t>Chuỗi &lt;b&gt;TEST&lt;/b&gt; và ký tự dấu nháy.</t>
  </si>
  <si>
    <t>1. Gửi nội dung thử
2. Mở bằng phiên B</t>
  </si>
  <si>
    <t>Nội dung được xử lý/escape theo thiết kế; không phá bố cục hoặc thực thi mã.</t>
  </si>
  <si>
    <t>S3-TC028</t>
  </si>
  <si>
    <t>Gửi đánh giá hợp lệ</t>
  </si>
  <si>
    <t>A có quyền đánh giá tin; thang điểm Rmin/Rmax và quy tắc đánh giá lặp được xác nhận.</t>
  </si>
  <si>
    <t>Điểm trong thang; nội dung TEST_Đánh giá.</t>
  </si>
  <si>
    <t>1. Mở tin
2. Chọn điểm hợp lệ
3. Gửi
4. Refresh</t>
  </si>
  <si>
    <t>Lưu điểm/nội dung đúng người và tin.</t>
  </si>
  <si>
    <t>S3-TC029</t>
  </si>
  <si>
    <t>Điểm đánh giá dưới min</t>
  </si>
  <si>
    <t>Rmin-1</t>
  </si>
  <si>
    <t>1. Gửi điểm thử qua UI hoặc request nếu UI giới hạn
2. Xem response
3. Đọc dữ liệu</t>
  </si>
  <si>
    <t>Từ chối điểm dưới thang.</t>
  </si>
  <si>
    <t>Dùng tài khoản/tin độc lập nếu mỗi người chỉ được đánh giá một lần.</t>
  </si>
  <si>
    <t>S3-TC030</t>
  </si>
  <si>
    <t>Điểm đánh giá tại min</t>
  </si>
  <si>
    <t>Rmin</t>
  </si>
  <si>
    <t>Chấp nhận điểm nhỏ nhất.</t>
  </si>
  <si>
    <t>S3-TC031</t>
  </si>
  <si>
    <t>Điểm đánh giá tại max</t>
  </si>
  <si>
    <t>Rmax</t>
  </si>
  <si>
    <t>Chấp nhận điểm lớn nhất.</t>
  </si>
  <si>
    <t>S3-TC032</t>
  </si>
  <si>
    <t>Điểm đánh giá vượt max</t>
  </si>
  <si>
    <t>Rmax+1</t>
  </si>
  <si>
    <t>Từ chối điểm vượt thang.</t>
  </si>
  <si>
    <t>S3-TC033</t>
  </si>
  <si>
    <t>Điểm đánh giá sai kiểu</t>
  </si>
  <si>
    <t>abc trong request điểm.</t>
  </si>
  <si>
    <t>1. Gửi request có điểm abc
2. Xem response</t>
  </si>
  <si>
    <t>Backend từ chối sai kiểu; không lưu điểm sai.</t>
  </si>
  <si>
    <t>S3-TC034</t>
  </si>
  <si>
    <t>Đánh giá thiếu điểm</t>
  </si>
  <si>
    <t>Không chọn điểm; nội dung hợp lệ.</t>
  </si>
  <si>
    <t>1. Gửi đánh giá không có điểm</t>
  </si>
  <si>
    <t>Báo thiếu điểm; không ghi đánh giá không hợp lệ.</t>
  </si>
  <si>
    <t>S3-TC035</t>
  </si>
  <si>
    <t>Đánh giá lặp của cùng người</t>
  </si>
  <si>
    <t>A đã đánh giá P_PUBLIC.</t>
  </si>
  <si>
    <t>1. A gửi đánh giá lần hai
2. Xem số lượng và điểm hiển thị</t>
  </si>
  <si>
    <t>Chặn hoặc cập nhật đúng chính sách đã chốt; không tăng số lượng/điểm sai.</t>
  </si>
  <si>
    <t>S3-TC036</t>
  </si>
  <si>
    <t>Khách không đánh giá</t>
  </si>
  <si>
    <t>Request đánh giá không xác thực.</t>
  </si>
  <si>
    <t>1. Gửi request đã bỏ token
2. Đọc lại danh sách đánh giá</t>
  </si>
  <si>
    <t>Backend từ chối; không thêm đánh giá.</t>
  </si>
  <si>
    <t>S3-TC037</t>
  </si>
  <si>
    <t>Gửi báo cáo hợp lệ</t>
  </si>
  <si>
    <t>A đăng nhập; tin thử có thể báo cáo; Admin xem được danh sách báo cáo.</t>
  </si>
  <si>
    <t>Lý do hợp lệ; mô tả TEST_Báo cáo.</t>
  </si>
  <si>
    <t>1. A gửi báo cáo tin
2. Admin mở danh sách
3. Xem chi tiết</t>
  </si>
  <si>
    <t>Báo cáo lưu đúng tin, người gửi, lý do và nội dung; Admin thấy được.</t>
  </si>
  <si>
    <t>S3-TC038</t>
  </si>
  <si>
    <t>Báo cáo thiếu lý do</t>
  </si>
  <si>
    <t>Bỏ lý do bắt buộc.</t>
  </si>
  <si>
    <t>1. Mở báo cáo
2. Không chọn lý do
3. Gửi</t>
  </si>
  <si>
    <t>Báo lỗi; không tạo báo cáo thiếu trường bắt buộc.</t>
  </si>
  <si>
    <t>S3-TC039</t>
  </si>
  <si>
    <t>Báo cáo vượt giới hạn nội dung</t>
  </si>
  <si>
    <t>Chuỗi REPORT_MAX+1 theo quy tắc đã chốt.</t>
  </si>
  <si>
    <t>1. Nhập chuỗi quá dài
2. Gửi</t>
  </si>
  <si>
    <t>Từ chối vượt giới hạn; không cắt/lưu sai âm thầm.</t>
  </si>
  <si>
    <t>S3-TC040</t>
  </si>
  <si>
    <t>Báo cáo gửi lặp</t>
  </si>
  <si>
    <t>Cùng A, tin và lý do.</t>
  </si>
  <si>
    <t>1. Gửi báo cáo
2. Gửi lại ngay
3. Admin xem danh sách</t>
  </si>
  <si>
    <t>Xử lý lặp đúng chính sách đã chốt; không sinh nhiều bản ngoài ý muốn.</t>
  </si>
  <si>
    <t>S3-TC041</t>
  </si>
  <si>
    <t>Khách không gửi báo cáo cần xác thực</t>
  </si>
  <si>
    <t>Request báo cáo đã bỏ token.</t>
  </si>
  <si>
    <t>1. Gửi request không xác thực
2. Admin kiểm tra</t>
  </si>
  <si>
    <t>Backend từ chối theo quyền đã chốt; không tạo báo cáo trái quyền.</t>
  </si>
  <si>
    <t>S3-TC042</t>
  </si>
  <si>
    <t>S3-TC04</t>
  </si>
  <si>
    <t>Danh sách gói đúng cấu hình</t>
  </si>
  <si>
    <t>Có gói TEST_PLAN với giá, thời hạn, quyền lợi đã xác nhận; thanh toán chỉ sandbox/mock.</t>
  </si>
  <si>
    <t>TEST_PLAN và dữ liệu cấu hình do Admin cung cấp.</t>
  </si>
  <si>
    <t>1. Mở danh sách gói
2. So sánh giá, thời hạn, quyền lợi</t>
  </si>
  <si>
    <t>Nội dung khớp cấu hình; đơn vị tiền và thời hạn rõ.</t>
  </si>
  <si>
    <t>S3-TC043</t>
  </si>
  <si>
    <t>Xác nhận mua đúng gói</t>
  </si>
  <si>
    <t>TEST_PLAN; A đăng nhập.</t>
  </si>
  <si>
    <t>1. Chọn gói
2. Mở xác nhận
3. So sánh tên, giá, thời hạn</t>
  </si>
  <si>
    <t>Không đổi gói/giá giữa màn hình chọn và xác nhận.</t>
  </si>
  <si>
    <t>S3-TC044</t>
  </si>
  <si>
    <t>Khách mua gói</t>
  </si>
  <si>
    <t>Phiên khách.</t>
  </si>
  <si>
    <t>1. Logout
2. Chọn mua gói
3. Thử request tạo giao dịch không xác thực</t>
  </si>
  <si>
    <t>Yêu cầu đăng nhập; backend không tạo giao dịch trái quyền.</t>
  </si>
  <si>
    <t>S3-TC045</t>
  </si>
  <si>
    <t>Sửa giá từ client</t>
  </si>
  <si>
    <t>Giá TEST_PLAN thật; request bị sửa thành 1 VND.</t>
  </si>
  <si>
    <t>1. Sao chép request tạo giao dịch
2. Đổi giá gửi lên
3. Gửi bằng A</t>
  </si>
  <si>
    <t>Backend dùng giá hợp lệ phía server hoặc từ chối; không bán gói theo giá client giả.</t>
  </si>
  <si>
    <t>S3-TC046</t>
  </si>
  <si>
    <t>Gói không tồn tại/ngừng bán</t>
  </si>
  <si>
    <t>ID gói thử đã ngừng bán hoặc không tồn tại.</t>
  </si>
  <si>
    <t>1. Gửi request mua gói đó
2. Xem giao dịch</t>
  </si>
  <si>
    <t>Không tạo giao dịch/cấp quyền cho gói không hợp lệ.</t>
  </si>
  <si>
    <t>S3-TC047</t>
  </si>
  <si>
    <t>Thanh toán thành công</t>
  </si>
  <si>
    <t>Đã ghi PAY_MODE sandbox/mock, kịch bản và phương thức callback ở Du lieu; Bin hỗ trợ. Chưa xác nhận thì Blocked.</t>
  </si>
  <si>
    <t>A mua TEST_PLAN; kịch bản thành công của sandbox/mock.</t>
  </si>
  <si>
    <t>1. Tạo giao dịch
2. Hoàn tất kịch bản thành công
3. Refresh gói và lịch sử
4. Đối chiếu DB đọc</t>
  </si>
  <si>
    <t>Một giao dịch thành công; cấp đúng gói, thời hạn và quyền lợi cho A.</t>
  </si>
  <si>
    <t>S3-TC048</t>
  </si>
  <si>
    <t>Thanh toán bị hủy</t>
  </si>
  <si>
    <t>Kịch bản hủy ở sandbox/mock.</t>
  </si>
  <si>
    <t>1. Tạo giao dịch
2. Hủy thanh toán
3. Quay về website
4. Refresh</t>
  </si>
  <si>
    <t>Trạng thái hủy theo thiết kế; không cấp quyền như đã trả tiền.</t>
  </si>
  <si>
    <t>S3-TC049</t>
  </si>
  <si>
    <t>Thanh toán thất bại</t>
  </si>
  <si>
    <t>Kịch bản từ chối/thất bại.</t>
  </si>
  <si>
    <t>1. Tạo giao dịch
2. Chạy kịch bản thất bại
3. Xem lịch sử/quyền lợi</t>
  </si>
  <si>
    <t>Giao dịch thất bại; không cấp gói.</t>
  </si>
  <si>
    <t>S3-TC050</t>
  </si>
  <si>
    <t>Giao dịch chờ xử lý</t>
  </si>
  <si>
    <t>Tạo giao dịch nhưng chưa gửi kết quả thanh toán.</t>
  </si>
  <si>
    <t>1. Tạo giao dịch
2. Trở về khi chưa có kết quả
3. Refresh</t>
  </si>
  <si>
    <t>Trạng thái chờ đúng; không tự coi là thành công.</t>
  </si>
  <si>
    <t>S3-TC051</t>
  </si>
  <si>
    <t>Callback thành công trễ</t>
  </si>
  <si>
    <t>Giao dịch đang chờ; callback thử tới sau khi đóng tab.</t>
  </si>
  <si>
    <t>1. Tạo giao dịch
2. Đóng tab
3. Gửi callback hợp lệ trễ
4. Mở lại lịch sử</t>
  </si>
  <si>
    <t>Cập nhật đúng một lần theo callback hợp lệ; không phụ thuộc tab còn mở.</t>
  </si>
  <si>
    <t>S3-TC052</t>
  </si>
  <si>
    <t>Callback không hợp lệ</t>
  </si>
  <si>
    <t>Callback có chữ ký/xác thực sai theo tích hợp thực tế.</t>
  </si>
  <si>
    <t>1. Bin gửi callback thử sai xác thực
2. Kiểm tra giao dịch và quyền</t>
  </si>
  <si>
    <t>Từ chối callback; giao dịch/quyền không bị đổi thành thành công.</t>
  </si>
  <si>
    <t>S3-TC053</t>
  </si>
  <si>
    <t>Callback sai số tiền</t>
  </si>
  <si>
    <t>Callback đúng mẫu nhưng số tiền khác giao dịch.</t>
  </si>
  <si>
    <t>1. Gửi callback thử sai số tiền
2. Kiểm tra trạng thái/quyền</t>
  </si>
  <si>
    <t>Không xác nhận thành công/cấp quyền khi đối chiếu tiền không khớp.</t>
  </si>
  <si>
    <t>S3-TC054</t>
  </si>
  <si>
    <t>Callback mã giao dịch lạ</t>
  </si>
  <si>
    <t>Mã không thuộc giao dịch đang có.</t>
  </si>
  <si>
    <t>1. Gửi callback thử mã không tồn tại
2. Kiểm tra lịch sử</t>
  </si>
  <si>
    <t>Không tạo/cấp quyền cho giao dịch giả; ghi lỗi có kiểm soát.</t>
  </si>
  <si>
    <t>S3-TC055</t>
  </si>
  <si>
    <t>S3-TC05</t>
  </si>
  <si>
    <t>Callback thành công lặp</t>
  </si>
  <si>
    <t>Có giao dịch thử; Bin có thể gửi lại callback hoặc sự kiện mô phỏng tương đương.</t>
  </si>
  <si>
    <t>Cùng một sự kiện thành công gửi 2 lần.</t>
  </si>
  <si>
    <t>1. Gửi sự kiện thành công
2. Ghi quyền và giao dịch
3. Gửi lại nguyên sự kiện
4. Đối chiếu</t>
  </si>
  <si>
    <t>Chỉ ghi nhận/cấp quyền một lần; thời hạn không tăng lần hai.</t>
  </si>
  <si>
    <t>S3-TC056</t>
  </si>
  <si>
    <t>Callback thất bại sau thành công</t>
  </si>
  <si>
    <t>Giao dịch đã thành công; quy tắc chuyển trạng thái chốt.</t>
  </si>
  <si>
    <t>1. Gửi callback thất bại trễ cho giao dịch đã thành công
2. Kiểm tra</t>
  </si>
  <si>
    <t>Không hạ/đổi trạng thái cuối trái chính sách; không hủy quyền hợp lệ sai.</t>
  </si>
  <si>
    <t>S3-TC057</t>
  </si>
  <si>
    <t>Bấm mua gói liên tiếp</t>
  </si>
  <si>
    <t>A; một ý định mua TEST_PLAN.</t>
  </si>
  <si>
    <t>1. Bấm xác nhận mua nhanh hai lần
2. Kiểm tra mã giao dịch
3. Hoàn tất một giao dịch</t>
  </si>
  <si>
    <t>Xử lý lặp theo thiết kế; không cấp trùng quyền hoặc ghi nhận hai lần thanh toán cho một kết quả.</t>
  </si>
  <si>
    <t>S3-TC058</t>
  </si>
  <si>
    <t>Quyền lợi gói sau mua</t>
  </si>
  <si>
    <t>Có giao dịch và gói của A; B có tài khoản riêng.</t>
  </si>
  <si>
    <t>Gói TEST_PLAN có quyền lợi cụ thể đã ghi ở Du lieu.</t>
  </si>
  <si>
    <t>1. Thanh toán thành công
2. Dùng chức năng thuộc quyền lợi
3. Refresh</t>
  </si>
  <si>
    <t>Quyền lợi được áp dụng đúng tài khoản, hạn mức và thời hạn.</t>
  </si>
  <si>
    <t>S3-TC059</t>
  </si>
  <si>
    <t>Gói hết hạn</t>
  </si>
  <si>
    <t>Gói thử hết hạn theo cách mô phỏng thời gian được nhóm hỗ trợ.</t>
  </si>
  <si>
    <t>1. Đặt trạng thái/thời gian thử có kiểm soát
2. Dùng quyền lợi
3. Xem hồ sơ gói</t>
  </si>
  <si>
    <t>Không còn quyền lợi đã hết hạn; trạng thái hiển thị đúng.</t>
  </si>
  <si>
    <t>Khôi phục thời gian/cấu hình thử; không sửa giờ hệ thống dùng chung.</t>
  </si>
  <si>
    <t>S3-TC060</t>
  </si>
  <si>
    <t>Lịch sử giao dịch đúng người</t>
  </si>
  <si>
    <t>A/B có giao dịch riêng.</t>
  </si>
  <si>
    <t>1. Đăng nhập A
2. Mở lịch sử
3. Đối chiếu danh sách</t>
  </si>
  <si>
    <t>Chỉ giao dịch A; tiền, gói và trạng thái đúng.</t>
  </si>
  <si>
    <t>S3-TC061</t>
  </si>
  <si>
    <t>B không đọc giao dịch A</t>
  </si>
  <si>
    <t>ID giao dịch A trong request chi tiết bằng B.</t>
  </si>
  <si>
    <t>1. B gọi API chi tiết giao dịch A
2. Xem response</t>
  </si>
  <si>
    <t>Backend từ chối; không lộ thông tin giao dịch A.</t>
  </si>
  <si>
    <t>S3-TC062</t>
  </si>
  <si>
    <t>Người dùng không tự đổi trạng thái tiền</t>
  </si>
  <si>
    <t>Request cập nhật trạng thái thành công bằng A.</t>
  </si>
  <si>
    <t>1. Thử gửi trạng thái thành công qua API với quyền member
2. Xem giao dịch/quyền</t>
  </si>
  <si>
    <t>Backend từ chối thao tác trái quyền; không cấp gói.</t>
  </si>
  <si>
    <t>S3-TC063</t>
  </si>
  <si>
    <t>S3-TC06</t>
  </si>
  <si>
    <t>Admin truy cập quản trị</t>
  </si>
  <si>
    <t>Có Admin và B; biết các API quản trị thật từ Network.</t>
  </si>
  <si>
    <t>Tài khoản Admin hợp lệ.</t>
  </si>
  <si>
    <t>1. Đăng nhập Admin
2. Mở trang quản trị
3. Mở tài khoản/tin/gói</t>
  </si>
  <si>
    <t>Truy cập đúng chức năng theo quyền; không lỗi chặn.</t>
  </si>
  <si>
    <t>S3-TC064</t>
  </si>
  <si>
    <t>Member mở URL quản trị</t>
  </si>
  <si>
    <t>B đăng nhập.</t>
  </si>
  <si>
    <t>1. Nhập URL Admin trực tiếp
2. Refresh</t>
  </si>
  <si>
    <t>Không truy cập nội dung quản trị trái quyền.</t>
  </si>
  <si>
    <t>S3-TC065</t>
  </si>
  <si>
    <t>Member gọi API quản trị tài khoản</t>
  </si>
  <si>
    <t>Request API tài khoản thật; phiên B.</t>
  </si>
  <si>
    <t>1. Dùng B gọi API quản trị tài khoản
2. Xem response
3. Kiểm tra dữ liệu</t>
  </si>
  <si>
    <t>Backend từ chối; không đọc/thay đổi dữ liệu trái quyền.</t>
  </si>
  <si>
    <t>S3-TC066</t>
  </si>
  <si>
    <t>Member gọi API quản trị danh mục</t>
  </si>
  <si>
    <t>Request API danh mục thật; phiên B.</t>
  </si>
  <si>
    <t>1. Dùng B gọi API quản trị danh mục
2. Xem response
3. Kiểm tra dữ liệu</t>
  </si>
  <si>
    <t>S3-TC067</t>
  </si>
  <si>
    <t>Member gọi API quản trị tin đăng</t>
  </si>
  <si>
    <t>Request API tin đăng thật; phiên B.</t>
  </si>
  <si>
    <t>1. Dùng B gọi API quản trị tin đăng
2. Xem response
3. Kiểm tra dữ liệu</t>
  </si>
  <si>
    <t>S3-TC068</t>
  </si>
  <si>
    <t>Member gọi API quản trị gói</t>
  </si>
  <si>
    <t>Request API gói thật; phiên B.</t>
  </si>
  <si>
    <t>1. Dùng B gọi API quản trị gói
2. Xem response
3. Kiểm tra dữ liệu</t>
  </si>
  <si>
    <t>S3-TC069</t>
  </si>
  <si>
    <t>Member gọi API quản trị bình luận/đánh giá</t>
  </si>
  <si>
    <t>Request API bình luận/đánh giá thật; phiên B.</t>
  </si>
  <si>
    <t>1. Dùng B gọi API quản trị bình luận/đánh giá
2. Xem response
3. Kiểm tra dữ liệu</t>
  </si>
  <si>
    <t>S3-TC070</t>
  </si>
  <si>
    <t>Member gọi API quản trị báo cáo</t>
  </si>
  <si>
    <t>Request API báo cáo thật; phiên B.</t>
  </si>
  <si>
    <t>1. Dùng B gọi API quản trị báo cáo
2. Xem response
3. Kiểm tra dữ liệu</t>
  </si>
  <si>
    <t>S3-TC071</t>
  </si>
  <si>
    <t>Member gọi API quản trị thống kê</t>
  </si>
  <si>
    <t>Request API thống kê thật; phiên B.</t>
  </si>
  <si>
    <t>1. Dùng B gọi API quản trị thống kê
2. Xem response
3. Kiểm tra dữ liệu</t>
  </si>
  <si>
    <t>S3-TC072</t>
  </si>
  <si>
    <t>Khách gọi API quản trị</t>
  </si>
  <si>
    <t>Request Admin đã bỏ token.</t>
  </si>
  <si>
    <t>1. Gửi request không xác thực
2. Xem response</t>
  </si>
  <si>
    <t>Backend từ chối; không trả dữ liệu quản trị.</t>
  </si>
  <si>
    <t>S3-TC073</t>
  </si>
  <si>
    <t>Admin khóa tài khoản</t>
  </si>
  <si>
    <t>Admin đăng nhập; A là tài khoản thử có thể khóa; không dùng tài khoản quản trị duy nhất.</t>
  </si>
  <si>
    <t>A đang hoạt động.</t>
  </si>
  <si>
    <t>1. Admin khóa A
2. A thử đăng nhập
3. Admin đọc trạng thái</t>
  </si>
  <si>
    <t>Trạng thái khóa lưu; A không đăng nhập trái chính sách khóa.</t>
  </si>
  <si>
    <t>Mở khóa A sau ca.</t>
  </si>
  <si>
    <t>S3-TC074</t>
  </si>
  <si>
    <t>Phiên đang mở khi bị khóa</t>
  </si>
  <si>
    <t>A đã đăng nhập trước khi Admin khóa.</t>
  </si>
  <si>
    <t>1. Admin khóa A
2. A dùng phiên cũ gọi thao tác cần quyền
3. Refresh</t>
  </si>
  <si>
    <t>Backend chặn tài khoản khóa theo chính sách đã chốt, không chỉ chặn lần đăng nhập mới.</t>
  </si>
  <si>
    <t>Mở khóa A.</t>
  </si>
  <si>
    <t>S3-TC075</t>
  </si>
  <si>
    <t>Admin mở khóa</t>
  </si>
  <si>
    <t>A đã bị khóa.</t>
  </si>
  <si>
    <t>1. Admin mở khóa
2. A đăng nhập và mở hồ sơ</t>
  </si>
  <si>
    <t>A hoạt động trở lại; dữ liệu tài khoản không mất.</t>
  </si>
  <si>
    <t>S3-TC076</t>
  </si>
  <si>
    <t>Thêm danh mục hợp lệ</t>
  </si>
  <si>
    <t>Admin đăng nhập; thao tác trên danh mục TEST_ riêng.</t>
  </si>
  <si>
    <t>Tên TEST_DanhMuc mới.</t>
  </si>
  <si>
    <t>1. Admin thêm danh mục
2. Refresh
3. Kiểm tra danh sách/chọn loại trên form</t>
  </si>
  <si>
    <t>Danh mục lưu và xuất hiện đúng nơi sử dụng theo thiết kế.</t>
  </si>
  <si>
    <t>S3-TC077</t>
  </si>
  <si>
    <t>Danh mục rỗng</t>
  </si>
  <si>
    <t>Tên rỗng.</t>
  </si>
  <si>
    <t>1. Mở thêm danh mục
2. Bỏ tên
3. Lưu</t>
  </si>
  <si>
    <t>Từ chối; không tạo danh mục rỗng.</t>
  </si>
  <si>
    <t>S3-TC078</t>
  </si>
  <si>
    <t>Sửa danh mục</t>
  </si>
  <si>
    <t>Danh mục TEST_ vừa tạo.</t>
  </si>
  <si>
    <t>1. Sửa tên
2. Lưu
3. Refresh
4. Xem nơi tham chiếu</t>
  </si>
  <si>
    <t>Tên mới nhất quán; ID/quan hệ không bị thay sai.</t>
  </si>
  <si>
    <t>S3-TC079</t>
  </si>
  <si>
    <t>Xóa danh mục đang có tin</t>
  </si>
  <si>
    <t>Danh mục thử được một tin thử tham chiếu.</t>
  </si>
  <si>
    <t>1. Ghi quy tắc xóa danh mục
2. Thử xóa
3. Mở tin liên quan</t>
  </si>
  <si>
    <t>Chặn hoặc xử lý tham chiếu đúng chính sách; không làm tin mồ côi.</t>
  </si>
  <si>
    <t>S3-TC080</t>
  </si>
  <si>
    <t>S3-TC08</t>
  </si>
  <si>
    <t>Admin duyệt tin</t>
  </si>
  <si>
    <t>Có tin chờ duyệt và tin công khai thử; Admin đăng nhập.</t>
  </si>
  <si>
    <t>Tin chờ duyệt hợp lệ.</t>
  </si>
  <si>
    <t>1. Admin mở tin
2. Duyệt
3. Khách tìm và mở chi tiết</t>
  </si>
  <si>
    <t>Trạng thái duyệt lưu; tin xuất hiện công khai đúng dữ liệu.</t>
  </si>
  <si>
    <t>S3-TC081</t>
  </si>
  <si>
    <t>Admin ẩn tin</t>
  </si>
  <si>
    <t>Tin thử đang công khai có thẻ và marker.</t>
  </si>
  <si>
    <t>1. Admin ẩn
2. Khách kiểm tra danh sách, tìm theo thẻ và bản đồ
3. Mở URL chi tiết</t>
  </si>
  <si>
    <t>Tin bị loại khỏi các nguồn công khai; chi tiết tuân thủ quyền xem trạng thái ẩn.</t>
  </si>
  <si>
    <t>S3-TC082</t>
  </si>
  <si>
    <t>Hủy thao tác quản trị tin</t>
  </si>
  <si>
    <t>Tin đang công khai.</t>
  </si>
  <si>
    <t>1. Bấm ẩn/xóa
2. Hủy ở bước xác nhận
3. Refresh</t>
  </si>
  <si>
    <t>Không đổi trạng thái tin khi thao tác đã hủy.</t>
  </si>
  <si>
    <t>S3-TC083</t>
  </si>
  <si>
    <t>Admin tạo gói</t>
  </si>
  <si>
    <t>Admin đăng nhập; chỉ dùng gói TEST_ và giao dịch thử.</t>
  </si>
  <si>
    <t>Giá/thời hạn/quyền lợi hợp lệ đã chốt.</t>
  </si>
  <si>
    <t>1. Mở thêm gói
2. Nhập dữ liệu
3. Lưu
4. Người dùng mở danh sách</t>
  </si>
  <si>
    <t>Gói lưu đúng và hiển thị theo trạng thái bán.</t>
  </si>
  <si>
    <t>S3-TC084</t>
  </si>
  <si>
    <t>Gói có giá âm</t>
  </si>
  <si>
    <t>Giá -1; trường khác hợp lệ.</t>
  </si>
  <si>
    <t>1. Admin nhập giá âm
2. Lưu</t>
  </si>
  <si>
    <t>Từ chối; không công khai gói giá sai.</t>
  </si>
  <si>
    <t>S3-TC085</t>
  </si>
  <si>
    <t>Gói có thời hạn sai</t>
  </si>
  <si>
    <t>Thời hạn âm hoặc sai kiểu theo quy tắc đã chốt.</t>
  </si>
  <si>
    <t>1. Admin nhập thời hạn sai
2. Lưu</t>
  </si>
  <si>
    <t>Từ chối; không tạo gói thời hạn không hợp lệ.</t>
  </si>
  <si>
    <t>S3-TC086</t>
  </si>
  <si>
    <t>Admin sửa thông tin gói</t>
  </si>
  <si>
    <t>Gói TEST_ chưa có giao dịch đang chờ.</t>
  </si>
  <si>
    <t>1. Sửa mô tả/giá
2. Lưu
3. Người dùng chọn gói</t>
  </si>
  <si>
    <t>Dữ liệu mới nhất quán giữa quản trị, danh sách và xác nhận mua.</t>
  </si>
  <si>
    <t>S3-TC087</t>
  </si>
  <si>
    <t>Ngừng bán gói</t>
  </si>
  <si>
    <t>Gói TEST_ đang bán.</t>
  </si>
  <si>
    <t>1. Admin ngừng bán
2. Người dùng thử mua từ tab cũ</t>
  </si>
  <si>
    <t>Backend không cho tạo giao dịch mới với gói đã ngừng bán; xử lý tab cũ rõ.</t>
  </si>
  <si>
    <t>S3-TC088</t>
  </si>
  <si>
    <t>Admin xử lý bình luận</t>
  </si>
  <si>
    <t>Có bình luận, đánh giá và báo cáo thử; Admin có quyền tương ứng.</t>
  </si>
  <si>
    <t>Bình luận thử đang công khai.</t>
  </si>
  <si>
    <t>1. Admin ẩn/xóa theo chức năng
2. Khách Refresh tin</t>
  </si>
  <si>
    <t>Nội dung không còn công khai theo quyết định; không tác động bình luận khác.</t>
  </si>
  <si>
    <t>S3-TC089</t>
  </si>
  <si>
    <t>Admin xử lý đánh giá</t>
  </si>
  <si>
    <t>Đánh giá thử; quy tắc thống kê điểm đã chốt.</t>
  </si>
  <si>
    <t>1. Admin ẩn/xóa đánh giá
2. Khách Refresh
3. Đối chiếu điểm/tổng số</t>
  </si>
  <si>
    <t>Trạng thái và tổng hợp điểm khớp quy tắc; không tính sai đánh giá đã loại.</t>
  </si>
  <si>
    <t>S3-TC090</t>
  </si>
  <si>
    <t>Admin xử lý báo cáo</t>
  </si>
  <si>
    <t>Báo cáo TEST_ đang mới.</t>
  </si>
  <si>
    <t>1. Mở báo cáo
2. Thực hiện quyết định xử lý
3. Lưu
4. Refresh</t>
  </si>
  <si>
    <t>Trạng thái/quyết định lưu đúng báo cáo; hành động với tin được phản ánh công khai.</t>
  </si>
  <si>
    <t>S3-TC091</t>
  </si>
  <si>
    <t>Xử lý lại báo cáo đã hoàn tất</t>
  </si>
  <si>
    <t>Báo cáo đã xử lý.</t>
  </si>
  <si>
    <t>1. Mở lại
2. Thử gửi quyết định lặp
3. Kiểm tra tin và trạng thái</t>
  </si>
  <si>
    <t>Không thực thi hành động trùng ngoài quy tắc; trạng thái nhất quán.</t>
  </si>
  <si>
    <t>S3-TC092</t>
  </si>
  <si>
    <t>S3-TC07</t>
  </si>
  <si>
    <t>Đếm người dùng</t>
  </si>
  <si>
    <t>Admin đăng nhập; CSDL thử riêng có baseline đã ghi; bộ STAT_SET ở Du lieu.</t>
  </si>
  <si>
    <t>Baseline U0; thêm 2 tài khoản thử hợp lệ thuộc phạm vi thống kê.</t>
  </si>
  <si>
    <t>1. Ghi U0
2. Tạo 2 tài khoản
3. Refresh thống kê
4. So sánh</t>
  </si>
  <si>
    <t>Số người dùng tăng đúng 2 theo tiêu chí đếm đã chốt.</t>
  </si>
  <si>
    <t>S3-TC093</t>
  </si>
  <si>
    <t>Đếm tin đăng</t>
  </si>
  <si>
    <t>Baseline P0; thêm 2 tin với trạng thái được tính.</t>
  </si>
  <si>
    <t>1. Ghi P0
2. Tạo 2 tin
3. Refresh
4. Đối chiếu</t>
  </si>
  <si>
    <t>Tăng đúng theo tiêu chí trạng thái đã chốt; không đếm trùng.</t>
  </si>
  <si>
    <t>S3-TC094</t>
  </si>
  <si>
    <t>Doanh thu chỉ giao dịch thành công</t>
  </si>
  <si>
    <t>STAT_SET: thành công 100000+200000; hủy 400000; thất bại 500000; chờ 600000 VND.</t>
  </si>
  <si>
    <t>1. Ghi baseline trong khoảng lọc
2. Tạo dữ liệu thử theo phương thức hỗ trợ
3. Refresh doanh thu</t>
  </si>
  <si>
    <t>Doanh thu tăng 300000 VND; hủy/thất bại/chờ không tính như thành công.</t>
  </si>
  <si>
    <t>S3-TC095</t>
  </si>
  <si>
    <t>Số giao dịch theo trạng thái</t>
  </si>
  <si>
    <t>STAT_SET gồm 5 giao dịch: 2 thành công, 1 hủy, 1 thất bại, 1 chờ.</t>
  </si>
  <si>
    <t>1. Mở thống kê
2. So sánh tổng và từng trạng thái với bộ thử</t>
  </si>
  <si>
    <t>Tăng 5 tổng giao dịch nếu chỉ tiêu là tất cả; từng trạng thái khớp 2/1/1/1.</t>
  </si>
  <si>
    <t>S3-TC096</t>
  </si>
  <si>
    <t>Thống kê không có dữ liệu</t>
  </si>
  <si>
    <t>Khoảng ngày không có giao dịch.</t>
  </si>
  <si>
    <t>1. Chọn khoảng trống
2. Áp dụng</t>
  </si>
  <si>
    <t>Hiển thị 0/trống đúng thiết kế; không giữ số của khoảng trước.</t>
  </si>
  <si>
    <t>S3-TC097</t>
  </si>
  <si>
    <t>Lọc ngày trong khoảng</t>
  </si>
  <si>
    <t>Giao dịch thử ở ngày đầu/giữa/cuối; timezone đã chốt.</t>
  </si>
  <si>
    <t>1. Chọn khoảng ngày
2. So sánh các ID và tổng tiền</t>
  </si>
  <si>
    <t>Chỉ tính giao dịch thuộc khoảng theo timezone và quy tắc cận đã chốt.</t>
  </si>
  <si>
    <t>S3-TC098</t>
  </si>
  <si>
    <t>Biên cuối ngày</t>
  </si>
  <si>
    <t>Giao dịch 23:59:59 ngày kết thúc và 00:00:00 ngày kế tiếp theo timezone đã chốt.</t>
  </si>
  <si>
    <t>1. Lọc tới ngày kết thúc
2. Đối chiếu tổng</t>
  </si>
  <si>
    <t>Có giao dịch cuối ngày; không có giao dịch ngày kế tiếp khi bộ lọc gồm cả ngày.</t>
  </si>
  <si>
    <t>S3-TC099</t>
  </si>
  <si>
    <t>Lọc khoảng ngày đảo</t>
  </si>
  <si>
    <t>Ngày bắt đầu sau ngày kết thúc.</t>
  </si>
  <si>
    <t>1. Chọn khoảng đảo
2. Áp dụng</t>
  </si>
  <si>
    <t>Báo khoảng sai hoặc xử lý theo quy tắc chốt; không hiển thị số gây hiểu lầm.</t>
  </si>
  <si>
    <t>S3-TC100</t>
  </si>
  <si>
    <t>Thống kê không tăng do callback lặp</t>
  </si>
  <si>
    <t>Một giao dịch thành công đã tính doanh thu.</t>
  </si>
  <si>
    <t>1. Ghi tổng
2. Gửi lại callback cùng giao dịch
3. Refresh</t>
  </si>
  <si>
    <t>Doanh thu/số giao dịch thành công không tăng lần nữa.</t>
  </si>
  <si>
    <t>S3-TC101</t>
  </si>
  <si>
    <t>Đăng nhập sau tích hợp</t>
  </si>
  <si>
    <t>Bản tích hợp Sprint 3; tài khoản thử và dịch vụ cần thiết đã sẵn sàng.</t>
  </si>
  <si>
    <t>A hợp lệ.</t>
  </si>
  <si>
    <t>1. Đăng nhập
2. Mở hồ sơ
3. Logout</t>
  </si>
  <si>
    <t>Phiên và hồ sơ đúng; logout hoạt động.</t>
  </si>
  <si>
    <t>S3-TC102</t>
  </si>
  <si>
    <t>Đăng tin và lưu thẻ sau tích hợp</t>
  </si>
  <si>
    <t>POST_BASE với mô tả rõ.</t>
  </si>
  <si>
    <t>1. A tạo tin
2. Xem thẻ
3. Refresh
4. Mở phiên khách khi tin đã công khai</t>
  </si>
  <si>
    <t>Tin/thẻ lưu bền; quyền xem đúng.</t>
  </si>
  <si>
    <t>S3-TC103</t>
  </si>
  <si>
    <t>Tìm kiếm kết hợp sau tích hợp</t>
  </si>
  <si>
    <t>Bộ P3/P5/P7.</t>
  </si>
  <si>
    <t>1. Áp dụng khu A, giá 3–5 triệu và loại L2
2. Xem kết quả</t>
  </si>
  <si>
    <t>Kết quả đúng bộ thử; không bị thay đổi bởi tích hợp bản đồ/quản trị.</t>
  </si>
  <si>
    <t>S3-TC104</t>
  </si>
  <si>
    <t>Luồng xuyên suốt đến quản trị</t>
  </si>
  <si>
    <t>A, B, Admin; tin TEST_E2E có thẻ và tọa độ.</t>
  </si>
  <si>
    <t>1. A đăng tin
2. Đưa tin công khai theo quyền
3. B tìm qua thẻ và mở marker
4. B bình luận/báo cáo
5. Admin xử lý và ẩn tin
6. B tìm lại</t>
  </si>
  <si>
    <t>ID và dữ liệu nhất quán; tương tác đúng tin; sau ẩn không còn công khai ở tìm kiếm/thẻ/bản đồ.</t>
  </si>
  <si>
    <t>S3-TC105</t>
  </si>
  <si>
    <t>AI lỗi không chặn luồng tích hợp</t>
  </si>
  <si>
    <t>Mock AI lỗi; tin hợp lệ có tọa độ.</t>
  </si>
  <si>
    <t>1. Bật mock
2. A tạo tin
3. Đưa tin công khai
4. B tìm bằng từ khóa và xem bản đồ</t>
  </si>
  <si>
    <t>Tin vẫn lưu/tìm được theo dữ liệu thường; không có thẻ giả; bản đồ vẫn đúng.</t>
  </si>
  <si>
    <t>Tắt mock AI.</t>
  </si>
  <si>
    <t>Dữ liệu và cấu hình trước khi chạy</t>
  </si>
  <si>
    <t>Mẫu TEST_ là dữ liệu đề xuất. Hợp điền cột D; ca phụ thuộc thông tin chưa chốt được ghi Blocked.</t>
  </si>
  <si>
    <t>Nhóm</t>
  </si>
  <si>
    <t>Tham số/bộ dữ liệu</t>
  </si>
  <si>
    <t>Hướng dẫn chuẩn bị</t>
  </si>
  <si>
    <t>Giá trị/ID thực tế đã xác nhận</t>
  </si>
  <si>
    <t>ENV</t>
  </si>
  <si>
    <t>Frontend URL</t>
  </si>
  <si>
    <t>Ghi URL terminal, thường http://localhost:3000.</t>
  </si>
  <si>
    <t>Backend URL</t>
  </si>
  <si>
    <t>Ghi cổng thật, thường http://localhost:4000.</t>
  </si>
  <si>
    <t>CSDL thử</t>
  </si>
  <si>
    <t>Ghi tên CSDL/bản sao; không dùng dữ liệu gốc.</t>
  </si>
  <si>
    <t>Ghi bản dùng để chạy và ngày giờ.</t>
  </si>
  <si>
    <t>Máy/trình duyệt</t>
  </si>
  <si>
    <t>Ghi Windows, CPU/RAM, Chrome/Edge và phiên bản.</t>
  </si>
  <si>
    <t>API</t>
  </si>
  <si>
    <t>Endpoint thật</t>
  </si>
  <si>
    <t>Ghi method, path và cấu trúc response từ Network/tài liệu. Không đoán URL API.</t>
  </si>
  <si>
    <t>AUTH</t>
  </si>
  <si>
    <t>A và B</t>
  </si>
  <si>
    <t>Hai tài khoản member độc lập, email do nhóm kiểm soát; không ghi mật khẩu/token vào file.</t>
  </si>
  <si>
    <t>Admin</t>
  </si>
  <si>
    <t>Tài khoản quản trị thử riêng; không khóa tài khoản quản trị duy nhất.</t>
  </si>
  <si>
    <t>Chính sách phiên</t>
  </si>
  <si>
    <t>Ghi hạn phiên, thu hồi sau logout/khóa tài khoản và điều kiện xác minh đăng ký.</t>
  </si>
  <si>
    <t>RULE</t>
  </si>
  <si>
    <t>Trường bắt buộc</t>
  </si>
  <si>
    <t>Ghi theo form/API và yêu cầu đã duyệt; không suy ra chỉ từ dấu * trên UI.</t>
  </si>
  <si>
    <t>Lmin</t>
  </si>
  <si>
    <t>Độ dài mật khẩu tối thiểu và các quy tắc ký tự. Chưa xác nhận thì ca biên Blocked.</t>
  </si>
  <si>
    <t>Tmax</t>
  </si>
  <si>
    <t>Số ký tự tiêu đề tối đa.</t>
  </si>
  <si>
    <t>Bmax/Nmax</t>
  </si>
  <si>
    <t>Dung lượng ảnh tối đa tính bằng byte; số ảnh tối đa; danh sách MIME/đuôi tệp hợp lệ.</t>
  </si>
  <si>
    <t>Giá/diện tích</t>
  </si>
  <si>
    <t>Giới hạn, quy tắc giá trị 0, số thập phân, lọc có gồm cận hay không.</t>
  </si>
  <si>
    <t>POST_BASE</t>
  </si>
  <si>
    <t>Tin hợp lệ</t>
  </si>
  <si>
    <t>TEST_Căn hộ S3; 5000000 VND/tháng; 50 m²; khu A; loại L2; mô tả có ban công; ảnh hợp lệ. Thay khu/loại bằng giá trị thật.</t>
  </si>
  <si>
    <t>SEARCH</t>
  </si>
  <si>
    <t>P3</t>
  </si>
  <si>
    <t>TEST_BanCong_P3; 3000000 VND; 30 m²; khu A; loại L1; công khai.</t>
  </si>
  <si>
    <t>P5</t>
  </si>
  <si>
    <t>TEST_BanCong_P5; 5000000 VND; 50 m²; khu A; loại L2; công khai.</t>
  </si>
  <si>
    <t>P7</t>
  </si>
  <si>
    <t>TEST_P7; 7000000 VND; 70 m²; khu B; loại L1; công khai.</t>
  </si>
  <si>
    <t>P_HIDDEN</t>
  </si>
  <si>
    <t>Tin ẩn riêng; từ khóa và thẻ riêng để kiểm tra không lộ.</t>
  </si>
  <si>
    <t>AI</t>
  </si>
  <si>
    <t>Model/cấu hình</t>
  </si>
  <si>
    <t>Ghi provider, model, prompt/version, timeout và ngày chạy; không ghi API key.</t>
  </si>
  <si>
    <t>TAG_MAX</t>
  </si>
  <si>
    <t>10 là đề xuất trong Test Plan; ghi giới hạn thực được duyệt trước ca giới hạn.</t>
  </si>
  <si>
    <t>Từ điển nhãn</t>
  </si>
  <si>
    <t>Ghi cách chuẩn hóa, ánh xạ nhãn ngữ nghĩa thành tag/slug thật; không đổi nhãn chỉ để hợp đầu ra.</t>
  </si>
  <si>
    <t>MAP</t>
  </si>
  <si>
    <t>MAP_A/MAP_B</t>
  </si>
  <si>
    <t>Chọn hai vị trí biết trước; ghi ID tin, latitude, longitude và địa chỉ chuẩn.</t>
  </si>
  <si>
    <t>INTERACT</t>
  </si>
  <si>
    <t>Cmax/REPORT_MAX</t>
  </si>
  <si>
    <t>Giới hạn nội dung bình luận/báo cáo theo thiết kế.</t>
  </si>
  <si>
    <t>Rmin/Rmax</t>
  </si>
  <si>
    <t>Thang điểm, bước điểm, điều kiện được đánh giá, quy tắc đánh giá/báo cáo lặp.</t>
  </si>
  <si>
    <t>PAY</t>
  </si>
  <si>
    <t>PAY_MODE</t>
  </si>
  <si>
    <t>Ghi sandbox hoặc mock, hướng dẫn chạy từng trạng thái/callback. Không dùng tiền thật. Chưa rõ thì Blocked.</t>
  </si>
  <si>
    <t>TEST_PLAN</t>
  </si>
  <si>
    <t>Ghi ID, giá, thời hạn, quyền lợi, cách hết hạn và quy tắc chuyển trạng thái giao dịch.</t>
  </si>
  <si>
    <t>STAT</t>
  </si>
  <si>
    <t>STAT_SET</t>
  </si>
  <si>
    <t>Thành công 100000+200000; hủy 400000; thất bại 500000; chờ 600000 VND. Dữ liệu thử đề xuất; dùng baseline nếu không thể có DB riêng.</t>
  </si>
  <si>
    <t>Quy tắc thống kê</t>
  </si>
  <si>
    <t>Ghi trạng thái được tính, timezone, cận ngày, baseline U0/P0/doanh thu.</t>
  </si>
  <si>
    <t>Sổ lỗi Sprint 3</t>
  </si>
  <si>
    <t>Mã lỗi S3-BUG-001... Hợp kiểm thử lại và đóng lỗi; chỉ ghi lỗi quan sát được.</t>
  </si>
  <si>
    <t>Mã ca liên quan</t>
  </si>
  <si>
    <t>Tiêu đề</t>
  </si>
  <si>
    <t>Mức độ</t>
  </si>
  <si>
    <t>Bước tái hiện</t>
  </si>
  <si>
    <t>Mong đợi</t>
  </si>
  <si>
    <t>Thực tế</t>
  </si>
  <si>
    <t>Build phát hiện</t>
  </si>
  <si>
    <t>Người sửa</t>
  </si>
  <si>
    <t>Trạng thái lỗi</t>
  </si>
  <si>
    <t>Build sửa</t>
  </si>
  <si>
    <t>Ngày retest</t>
  </si>
  <si>
    <t>Kết quả retest</t>
  </si>
  <si>
    <t>Ghi chú</t>
  </si>
  <si>
    <t>Lịch sử từng lần kiểm thử</t>
  </si>
  <si>
    <t>Ghi một dòng cho mỗi lần chạy; giữ nguyên lịch sử cũ. Thêm dòng bằng Insert Table Rows khi cần.</t>
  </si>
  <si>
    <t>Lần chạy</t>
  </si>
  <si>
    <t>Người chạy</t>
  </si>
  <si>
    <t>Ngày giờ</t>
  </si>
  <si>
    <t>Dữ liệu/ID dùng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</si>
</sst>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\ hh:mm"/>
    <numFmt numFmtId="179" formatCode="0.0%"/>
  </numFmts>
  <fonts count="25">
    <font>
      <sz val="11"/>
      <name val="Carlito"/>
      <charset val="134"/>
    </font>
    <font>
      <sz val="11"/>
      <color rgb="FF1F2937"/>
      <name val="Arial"/>
      <charset val="134"/>
    </font>
    <font>
      <b/>
      <sz val="16"/>
      <color rgb="FF263E63"/>
      <name val="Arial"/>
      <charset val="134"/>
    </font>
    <font>
      <b/>
      <sz val="11"/>
      <color rgb="FFFFFFFF"/>
      <name val="Arial"/>
      <charset val="134"/>
    </font>
    <font>
      <b/>
      <sz val="14"/>
      <color rgb="FF263E6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63E63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vertical="top"/>
    </xf>
    <xf numFmtId="0" fontId="3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top" wrapText="1"/>
    </xf>
    <xf numFmtId="178" fontId="1" fillId="3" borderId="0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/>
    <xf numFmtId="0" fontId="3" fillId="2" borderId="0" xfId="0" applyNumberFormat="1" applyFont="1" applyFill="1" applyBorder="1" applyAlignment="1">
      <alignment vertical="top" wrapText="1"/>
    </xf>
    <xf numFmtId="1" fontId="1" fillId="0" borderId="0" xfId="0" applyNumberFormat="1" applyFont="1" applyFill="1" applyBorder="1" applyAlignment="1">
      <alignment vertical="top" wrapText="1"/>
    </xf>
    <xf numFmtId="179" fontId="1" fillId="0" borderId="0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b val="1"/>
        <color rgb="FFA31515"/>
      </font>
      <fill>
        <patternFill patternType="solid">
          <bgColor rgb="FFFDE8E7"/>
        </patternFill>
      </fill>
    </dxf>
    <dxf>
      <font>
        <b val="1"/>
        <color rgb="FF845600"/>
      </font>
      <fill>
        <patternFill patternType="solid">
          <bgColor rgb="FFFFF0D6"/>
        </patternFill>
      </fill>
    </dxf>
    <dxf>
      <font>
        <b val="1"/>
        <color rgb="FF245837"/>
      </font>
      <fill>
        <patternFill patternType="solid">
          <bgColor rgb="FFE8F2E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asesS3" displayName="CasesS3" ref="A5:Q110" totalsRowShown="0">
  <autoFilter xmlns:etc="http://www.wps.cn/officeDocument/2017/etCustomData" ref="A5:Q110" etc:filterBottomFollowUsedRange="0"/>
  <tableColumns count="17">
    <tableColumn id="1" name="Mã ca"/>
    <tableColumn id="2" name="Phạm vi"/>
    <tableColumn id="3" name="Ca mẫu Test Plan"/>
    <tableColumn id="4" name="Tên ca kiểm thử"/>
    <tableColumn id="5" name="Ưu tiên"/>
    <tableColumn id="6" name="Điều kiện trước"/>
    <tableColumn id="7" name="Dữ liệu thử"/>
    <tableColumn id="8" name="Các bước thực hiện"/>
    <tableColumn id="9" name="Kết quả mong đợi"/>
    <tableColumn id="10" name="Dọn dẹp/khôi phục"/>
    <tableColumn id="11" name="Trạng thái"/>
    <tableColumn id="12" name="Kết quả thực tế"/>
    <tableColumn id="13" name="Ngày chạy"/>
    <tableColumn id="14" name="Build/commit"/>
    <tableColumn id="15" name="Bằng chứng"/>
    <tableColumn id="16" name="Mã lỗi"/>
    <tableColumn id="17" name="Ghi chú/điểm cần chố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S3" displayName="DataS3" ref="A5:D34" totalsRowShown="0">
  <autoFilter xmlns:etc="http://www.wps.cn/officeDocument/2017/etCustomData" ref="A5:D34" etc:filterBottomFollowUsedRange="0"/>
  <tableColumns count="4">
    <tableColumn id="1" name="Nhóm"/>
    <tableColumn id="2" name="Tham số/bộ dữ liệu"/>
    <tableColumn id="3" name="Hướng dẫn chuẩn bị"/>
    <tableColumn id="4" name="Giá trị/ID thực tế đã xác nhậ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ugsS3" displayName="BugsS3" ref="A5:O25" totalsRowShown="0">
  <autoFilter xmlns:etc="http://www.wps.cn/officeDocument/2017/etCustomData" ref="A5:O25" etc:filterBottomFollowUsedRange="0"/>
  <tableColumns count="15">
    <tableColumn id="1" name="Mã lỗi"/>
    <tableColumn id="2" name="Mã ca liên quan"/>
    <tableColumn id="3" name="Tiêu đề"/>
    <tableColumn id="4" name="Mức độ"/>
    <tableColumn id="5" name="Bước tái hiện"/>
    <tableColumn id="6" name="Mong đợi"/>
    <tableColumn id="7" name="Thực tế"/>
    <tableColumn id="8" name="Build phát hiện"/>
    <tableColumn id="9" name="Bằng chứng"/>
    <tableColumn id="10" name="Người sửa"/>
    <tableColumn id="11" name="Trạng thái lỗi"/>
    <tableColumn id="12" name="Build sửa"/>
    <tableColumn id="13" name="Ngày retest"/>
    <tableColumn id="14" name="Kết quả retest"/>
    <tableColumn id="15" name="Ghi ch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sS3" displayName="RunsS3" ref="A5:K30" totalsRowShown="0">
  <autoFilter xmlns:etc="http://www.wps.cn/officeDocument/2017/etCustomData" ref="A5:K30" etc:filterBottomFollowUsedRange="0"/>
  <tableColumns count="11">
    <tableColumn id="1" name="Lần chạy"/>
    <tableColumn id="2" name="Mã ca"/>
    <tableColumn id="3" name="Người chạy"/>
    <tableColumn id="4" name="Ngày giờ"/>
    <tableColumn id="5" name="Build/commit"/>
    <tableColumn id="6" name="Dữ liệu/ID dùng"/>
    <tableColumn id="7" name="Trạng thái"/>
    <tableColumn id="8" name="Kết quả thực tế"/>
    <tableColumn id="9" name="Bằng chứng"/>
    <tableColumn id="10" name="Mã lỗi"/>
    <tableColumn id="11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showGridLines="0" tabSelected="1" workbookViewId="0">
      <selection activeCell="D14" sqref="D14"/>
    </sheetView>
  </sheetViews>
  <sheetFormatPr defaultColWidth="9" defaultRowHeight="13.8" outlineLevelCol="5"/>
  <cols>
    <col min="1" max="1" width="43" customWidth="1"/>
    <col min="2" max="2" width="24" customWidth="1"/>
    <col min="3" max="3" width="4" customWidth="1"/>
    <col min="4" max="4" width="39" customWidth="1"/>
    <col min="5" max="5" width="24" customWidth="1"/>
    <col min="6" max="6" width="61" customWidth="1"/>
  </cols>
  <sheetData>
    <row r="1" spans="1:6">
      <c r="A1" s="1"/>
      <c r="B1" s="1"/>
      <c r="C1" s="1"/>
      <c r="D1" s="1"/>
      <c r="E1" s="1"/>
      <c r="F1" s="1"/>
    </row>
    <row r="2" ht="28" customHeight="1" spans="1:6">
      <c r="A2" s="2" t="s">
        <v>0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 t="s">
        <v>1</v>
      </c>
      <c r="B4" s="1" t="s">
        <v>2</v>
      </c>
      <c r="C4" s="1"/>
      <c r="D4" s="1"/>
      <c r="E4" s="1"/>
      <c r="F4" s="1"/>
    </row>
    <row r="5" spans="1:6">
      <c r="A5" s="1" t="s">
        <v>3</v>
      </c>
      <c r="B5" s="1" t="s">
        <v>4</v>
      </c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ht="30" customHeight="1" spans="1:6">
      <c r="A7" s="4" t="s">
        <v>5</v>
      </c>
      <c r="B7" s="4" t="s">
        <v>6</v>
      </c>
      <c r="C7" s="1"/>
      <c r="D7" s="8" t="s">
        <v>7</v>
      </c>
      <c r="E7" s="8" t="s">
        <v>8</v>
      </c>
      <c r="F7" s="8" t="s">
        <v>9</v>
      </c>
    </row>
    <row r="8" ht="30" customHeight="1" spans="1:6">
      <c r="A8" s="1" t="s">
        <v>10</v>
      </c>
      <c r="B8" s="9">
        <f>COUNTA('Test cases'!$A$6:$A$110)</f>
        <v>105</v>
      </c>
      <c r="C8" s="1"/>
      <c r="D8" s="1" t="s">
        <v>11</v>
      </c>
      <c r="E8" s="1" t="s">
        <v>12</v>
      </c>
      <c r="F8" s="1" t="s">
        <v>13</v>
      </c>
    </row>
    <row r="9" ht="30" customHeight="1" spans="1:6">
      <c r="A9" s="1" t="s">
        <v>14</v>
      </c>
      <c r="B9" s="9">
        <f>COUNTIFS('Test cases'!$K$6:$K$110,"Not Run")</f>
        <v>105</v>
      </c>
      <c r="C9" s="1"/>
      <c r="D9" s="1" t="s">
        <v>15</v>
      </c>
      <c r="E9" s="1" t="s">
        <v>16</v>
      </c>
      <c r="F9" s="1" t="s">
        <v>17</v>
      </c>
    </row>
    <row r="10" ht="30" customHeight="1" spans="1:6">
      <c r="A10" s="1" t="s">
        <v>18</v>
      </c>
      <c r="B10" s="9">
        <f>COUNTIFS('Test cases'!$K$6:$K$110,"Pass")</f>
        <v>0</v>
      </c>
      <c r="C10" s="1"/>
      <c r="D10" s="1" t="s">
        <v>19</v>
      </c>
      <c r="E10" s="1" t="s">
        <v>20</v>
      </c>
      <c r="F10" s="1" t="s">
        <v>21</v>
      </c>
    </row>
    <row r="11" ht="30" customHeight="1" spans="1:6">
      <c r="A11" s="1" t="s">
        <v>22</v>
      </c>
      <c r="B11" s="9">
        <f>COUNTIFS('Test cases'!$K$6:$K$110,"Fail")</f>
        <v>0</v>
      </c>
      <c r="C11" s="1"/>
      <c r="D11" s="1"/>
      <c r="E11" s="1"/>
      <c r="F11" s="1"/>
    </row>
    <row r="12" ht="30" customHeight="1" spans="1:6">
      <c r="A12" s="1" t="s">
        <v>23</v>
      </c>
      <c r="B12" s="9">
        <f>COUNTIFS('Test cases'!$K$6:$K$110,"Blocked")</f>
        <v>0</v>
      </c>
      <c r="C12" s="1"/>
      <c r="D12" s="1"/>
      <c r="E12" s="1"/>
      <c r="F12" s="1"/>
    </row>
    <row r="13" ht="30" customHeight="1" spans="1:6">
      <c r="A13" s="1" t="s">
        <v>24</v>
      </c>
      <c r="B13" s="9">
        <f>COUNTIFS('Test cases'!$K$6:$K$110,"N/A")</f>
        <v>0</v>
      </c>
      <c r="C13" s="1"/>
      <c r="D13" s="3" t="s">
        <v>25</v>
      </c>
      <c r="E13" s="1"/>
      <c r="F13" s="1"/>
    </row>
    <row r="14" ht="30" customHeight="1" spans="1:6">
      <c r="A14" s="1" t="s">
        <v>26</v>
      </c>
      <c r="B14" s="9">
        <f>B8-B13</f>
        <v>105</v>
      </c>
      <c r="C14" s="1"/>
      <c r="D14" s="1"/>
      <c r="E14" s="1"/>
      <c r="F14" s="1"/>
    </row>
    <row r="15" ht="30" customHeight="1" spans="1:6">
      <c r="A15" s="1" t="s">
        <v>27</v>
      </c>
      <c r="B15" s="10">
        <f>IF(B14=0,"Chưa xác định",B10/B14)</f>
        <v>0</v>
      </c>
      <c r="C15" s="1"/>
      <c r="D15" s="1"/>
      <c r="E15" s="1"/>
      <c r="F15" s="1"/>
    </row>
    <row r="16" ht="30" customHeight="1" spans="1:6">
      <c r="A16" s="1" t="s">
        <v>28</v>
      </c>
      <c r="B16" s="9">
        <f>COUNTIFS('Test cases'!$E$6:$E$110,"P1",'Test cases'!$K$6:$K$110,"&lt;&gt;N/A")</f>
        <v>75</v>
      </c>
      <c r="C16" s="1"/>
      <c r="D16" s="1"/>
      <c r="E16" s="1"/>
      <c r="F16" s="1"/>
    </row>
    <row r="17" ht="30" customHeight="1" spans="1:6">
      <c r="A17" s="1" t="s">
        <v>29</v>
      </c>
      <c r="B17" s="9">
        <f>COUNTIFS('Test cases'!$E$6:$E$110,"P1",'Test cases'!$K$6:$K$110,"Pass")</f>
        <v>0</v>
      </c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ht="34" customHeight="1" spans="1:6">
      <c r="A20" s="4" t="s">
        <v>30</v>
      </c>
      <c r="B20" s="4" t="s">
        <v>6</v>
      </c>
      <c r="C20" s="1"/>
      <c r="D20" s="1"/>
      <c r="E20" s="1"/>
      <c r="F20" s="1"/>
    </row>
    <row r="21" ht="30" customHeight="1" spans="1:6">
      <c r="A21" s="1" t="s">
        <v>31</v>
      </c>
      <c r="B21" s="1">
        <v>17</v>
      </c>
      <c r="C21" s="1"/>
      <c r="D21" s="3" t="s">
        <v>32</v>
      </c>
      <c r="E21" s="1"/>
      <c r="F21" s="1"/>
    </row>
    <row r="22" ht="30" customHeight="1" spans="1:6">
      <c r="A22" s="1" t="s">
        <v>33</v>
      </c>
      <c r="B22" s="1">
        <v>10</v>
      </c>
      <c r="C22" s="1"/>
      <c r="D22" s="3" t="s">
        <v>34</v>
      </c>
      <c r="E22" s="1"/>
      <c r="F22" s="1"/>
    </row>
    <row r="23" ht="30" customHeight="1" spans="1:6">
      <c r="A23" s="1" t="s">
        <v>35</v>
      </c>
      <c r="B23" s="1">
        <v>9</v>
      </c>
      <c r="C23" s="1"/>
      <c r="D23" s="3" t="s">
        <v>36</v>
      </c>
      <c r="E23" s="1"/>
      <c r="F23" s="1"/>
    </row>
    <row r="24" ht="30" customHeight="1" spans="1:6">
      <c r="A24" s="1" t="s">
        <v>37</v>
      </c>
      <c r="B24" s="1">
        <v>5</v>
      </c>
      <c r="C24" s="1"/>
      <c r="D24" s="3" t="s">
        <v>38</v>
      </c>
      <c r="E24" s="1"/>
      <c r="F24" s="1"/>
    </row>
    <row r="25" ht="30" customHeight="1" spans="1:6">
      <c r="A25" s="1" t="s">
        <v>39</v>
      </c>
      <c r="B25" s="1">
        <v>5</v>
      </c>
      <c r="C25" s="1"/>
      <c r="D25" s="3" t="s">
        <v>40</v>
      </c>
      <c r="E25" s="1"/>
      <c r="F25" s="1"/>
    </row>
    <row r="26" ht="30" customHeight="1" spans="1:6">
      <c r="A26" s="1" t="s">
        <v>41</v>
      </c>
      <c r="B26" s="1">
        <v>11</v>
      </c>
      <c r="C26" s="1"/>
      <c r="D26" s="3" t="s">
        <v>42</v>
      </c>
      <c r="E26" s="1"/>
      <c r="F26" s="1"/>
    </row>
    <row r="27" ht="30" customHeight="1" spans="1:6">
      <c r="A27" s="1" t="s">
        <v>43</v>
      </c>
      <c r="B27" s="1">
        <v>5</v>
      </c>
      <c r="C27" s="1"/>
      <c r="D27" s="3" t="s">
        <v>44</v>
      </c>
      <c r="E27" s="1"/>
      <c r="F27" s="1"/>
    </row>
    <row r="28" ht="30" customHeight="1" spans="1:6">
      <c r="A28" s="1" t="s">
        <v>45</v>
      </c>
      <c r="B28" s="1">
        <v>10</v>
      </c>
      <c r="C28" s="1"/>
      <c r="D28" s="3" t="s">
        <v>46</v>
      </c>
      <c r="E28" s="1"/>
      <c r="F28" s="1"/>
    </row>
    <row r="29" ht="30" customHeight="1" spans="1:6">
      <c r="A29" s="1" t="s">
        <v>47</v>
      </c>
      <c r="B29" s="1">
        <v>3</v>
      </c>
      <c r="C29" s="1"/>
      <c r="D29" s="3" t="s">
        <v>48</v>
      </c>
      <c r="E29" s="1"/>
      <c r="F29" s="1"/>
    </row>
    <row r="30" ht="30" customHeight="1" spans="1:6">
      <c r="A30" s="1" t="s">
        <v>49</v>
      </c>
      <c r="B30" s="1">
        <v>4</v>
      </c>
      <c r="C30" s="1"/>
      <c r="D30" s="3" t="s">
        <v>50</v>
      </c>
      <c r="E30" s="1"/>
      <c r="F30" s="1"/>
    </row>
    <row r="31" ht="30" customHeight="1" spans="1:6">
      <c r="A31" s="1" t="s">
        <v>51</v>
      </c>
      <c r="B31" s="1">
        <v>3</v>
      </c>
      <c r="C31" s="1"/>
      <c r="D31" s="3" t="s">
        <v>52</v>
      </c>
      <c r="E31" s="1"/>
      <c r="F31" s="1"/>
    </row>
    <row r="32" ht="30" customHeight="1" spans="1:6">
      <c r="A32" s="1" t="s">
        <v>53</v>
      </c>
      <c r="B32" s="1">
        <v>5</v>
      </c>
      <c r="C32" s="1"/>
      <c r="D32" s="3" t="s">
        <v>54</v>
      </c>
      <c r="E32" s="1"/>
      <c r="F32" s="1"/>
    </row>
    <row r="33" ht="30" customHeight="1" spans="1:6">
      <c r="A33" s="1" t="s">
        <v>55</v>
      </c>
      <c r="B33" s="1">
        <v>4</v>
      </c>
      <c r="C33" s="1"/>
      <c r="D33" s="3" t="s">
        <v>56</v>
      </c>
      <c r="E33" s="1"/>
      <c r="F33" s="1"/>
    </row>
    <row r="34" ht="30" customHeight="1" spans="1:6">
      <c r="A34" s="1" t="s">
        <v>57</v>
      </c>
      <c r="B34" s="1">
        <v>9</v>
      </c>
      <c r="C34" s="1"/>
      <c r="D34" s="3" t="s">
        <v>58</v>
      </c>
      <c r="E34" s="1"/>
      <c r="F34" s="1"/>
    </row>
    <row r="35" ht="30" customHeight="1" spans="1:6">
      <c r="A35" s="1" t="s">
        <v>59</v>
      </c>
      <c r="B35" s="1">
        <v>5</v>
      </c>
      <c r="C35" s="1"/>
      <c r="D35" s="3" t="s">
        <v>60</v>
      </c>
      <c r="E35" s="1"/>
      <c r="F35" s="1"/>
    </row>
    <row r="36" ht="30" customHeight="1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ht="26" customHeight="1" spans="1:6">
      <c r="A38" s="1"/>
      <c r="B38" s="1"/>
      <c r="C38" s="1"/>
      <c r="D38" s="3"/>
      <c r="E38" s="1"/>
      <c r="F38" s="1"/>
    </row>
    <row r="39" ht="26" customHeight="1" spans="1:6">
      <c r="A39" s="1"/>
      <c r="B39" s="1"/>
      <c r="C39" s="1"/>
      <c r="D39" s="3"/>
      <c r="E39" s="1"/>
      <c r="F39" s="1"/>
    </row>
    <row r="40" ht="26" customHeight="1" spans="1:6">
      <c r="A40" s="1"/>
      <c r="B40" s="1"/>
      <c r="C40" s="1"/>
      <c r="D40" s="3"/>
      <c r="E40" s="1"/>
      <c r="F40" s="1"/>
    </row>
    <row r="41" ht="26" customHeight="1" spans="1:6">
      <c r="A41" s="1"/>
      <c r="B41" s="1"/>
      <c r="C41" s="1"/>
      <c r="D41" s="3"/>
      <c r="E41" s="1"/>
      <c r="F41" s="1"/>
    </row>
    <row r="42" ht="26" customHeight="1" spans="1:6">
      <c r="A42" s="1"/>
      <c r="B42" s="1"/>
      <c r="C42" s="1"/>
      <c r="D42" s="3"/>
      <c r="E42" s="1"/>
      <c r="F42" s="1"/>
    </row>
    <row r="43" ht="26" customHeight="1" spans="1:6">
      <c r="A43" s="1"/>
      <c r="B43" s="1"/>
      <c r="C43" s="1"/>
      <c r="D43" s="3"/>
      <c r="E43" s="1"/>
      <c r="F43" s="1"/>
    </row>
    <row r="44" ht="26" customHeight="1" spans="1:6">
      <c r="A44" s="1"/>
      <c r="B44" s="1"/>
      <c r="C44" s="1"/>
      <c r="D44" s="3"/>
      <c r="E44" s="1"/>
      <c r="F44" s="1"/>
    </row>
    <row r="45" ht="26" customHeight="1" spans="1:6">
      <c r="A45" s="1"/>
      <c r="B45" s="1"/>
      <c r="C45" s="1"/>
      <c r="D45" s="3"/>
      <c r="E45" s="1"/>
      <c r="F45" s="1"/>
    </row>
    <row r="46" ht="26" customHeight="1" spans="1:6">
      <c r="A46" s="1"/>
      <c r="B46" s="1"/>
      <c r="C46" s="1"/>
      <c r="D46" s="3"/>
      <c r="E46" s="1"/>
      <c r="F46" s="1"/>
    </row>
    <row r="47" ht="26" customHeight="1" spans="1:6">
      <c r="A47" s="1"/>
      <c r="B47" s="1"/>
      <c r="C47" s="1"/>
      <c r="D47" s="3"/>
      <c r="E47" s="1"/>
      <c r="F47" s="1"/>
    </row>
    <row r="48" ht="26" customHeight="1" spans="1:6">
      <c r="A48" s="1"/>
      <c r="B48" s="1"/>
      <c r="C48" s="1"/>
      <c r="D48" s="3"/>
      <c r="E48" s="1"/>
      <c r="F48" s="1"/>
    </row>
    <row r="49" ht="26" customHeight="1" spans="1:6">
      <c r="A49" s="1"/>
      <c r="B49" s="1"/>
      <c r="C49" s="1"/>
      <c r="D49" s="3"/>
      <c r="E49" s="1"/>
      <c r="F49" s="1"/>
    </row>
    <row r="50" ht="26" customHeight="1" spans="1:6">
      <c r="A50" s="1"/>
      <c r="B50" s="1"/>
      <c r="C50" s="1"/>
      <c r="D50" s="3"/>
      <c r="E50" s="1"/>
      <c r="F50" s="1"/>
    </row>
    <row r="51" ht="26" customHeight="1" spans="1:6">
      <c r="A51" s="1"/>
      <c r="B51" s="1"/>
      <c r="C51" s="1"/>
      <c r="D51" s="3"/>
      <c r="E51" s="1"/>
      <c r="F51" s="1"/>
    </row>
    <row r="52" ht="26" customHeight="1" spans="1:6">
      <c r="A52" s="1"/>
      <c r="B52" s="1"/>
      <c r="C52" s="1"/>
      <c r="D52" s="3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63E63"/>
  </sheetPr>
  <dimension ref="A1:Q110"/>
  <sheetViews>
    <sheetView showGridLines="0" workbookViewId="0">
      <pane xSplit="1" ySplit="5" topLeftCell="B109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8"/>
  <cols>
    <col min="1" max="1" width="17" customWidth="1"/>
    <col min="2" max="2" width="24" customWidth="1"/>
    <col min="3" max="3" width="21" customWidth="1"/>
    <col min="4" max="4" width="34" customWidth="1"/>
    <col min="5" max="5" width="10" customWidth="1"/>
    <col min="6" max="7" width="43" customWidth="1"/>
    <col min="8" max="9" width="58" customWidth="1"/>
    <col min="10" max="10" width="35" customWidth="1"/>
    <col min="11" max="11" width="14" customWidth="1"/>
    <col min="12" max="12" width="43" customWidth="1"/>
    <col min="13" max="13" width="18" customWidth="1"/>
    <col min="14" max="14" width="20" customWidth="1"/>
    <col min="15" max="15" width="30" customWidth="1"/>
    <col min="16" max="16" width="18" customWidth="1"/>
    <col min="17" max="17" width="42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8" customHeight="1" spans="1:17">
      <c r="A2" s="2" t="s">
        <v>61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3" t="s">
        <v>62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34" customHeight="1" spans="1:17">
      <c r="A5" s="4" t="s">
        <v>63</v>
      </c>
      <c r="B5" s="4" t="s">
        <v>64</v>
      </c>
      <c r="C5" s="4" t="s">
        <v>65</v>
      </c>
      <c r="D5" s="4" t="s">
        <v>66</v>
      </c>
      <c r="E5" s="4" t="s">
        <v>7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4" t="s">
        <v>77</v>
      </c>
      <c r="Q5" s="4" t="s">
        <v>78</v>
      </c>
    </row>
    <row r="6" ht="57" customHeight="1" spans="1:17">
      <c r="A6" s="1" t="s">
        <v>79</v>
      </c>
      <c r="B6" s="1" t="s">
        <v>31</v>
      </c>
      <c r="C6" s="1" t="s">
        <v>80</v>
      </c>
      <c r="D6" s="1" t="s">
        <v>81</v>
      </c>
      <c r="E6" s="1" t="s">
        <v>11</v>
      </c>
      <c r="F6" s="1" t="s">
        <v>82</v>
      </c>
      <c r="G6" s="1" t="s">
        <v>83</v>
      </c>
      <c r="H6" s="1" t="s">
        <v>84</v>
      </c>
      <c r="I6" s="1" t="s">
        <v>85</v>
      </c>
      <c r="J6" s="1" t="s">
        <v>86</v>
      </c>
      <c r="K6" s="5" t="s">
        <v>14</v>
      </c>
      <c r="L6" s="5" t="s">
        <v>87</v>
      </c>
      <c r="M6" s="6"/>
      <c r="N6" s="5" t="s">
        <v>87</v>
      </c>
      <c r="O6" s="5" t="s">
        <v>87</v>
      </c>
      <c r="P6" s="5" t="s">
        <v>87</v>
      </c>
      <c r="Q6" s="5" t="s">
        <v>87</v>
      </c>
    </row>
    <row r="7" ht="57" customHeight="1" spans="1:17">
      <c r="A7" s="1" t="s">
        <v>88</v>
      </c>
      <c r="B7" s="1" t="s">
        <v>31</v>
      </c>
      <c r="C7" s="1" t="s">
        <v>80</v>
      </c>
      <c r="D7" s="1" t="s">
        <v>89</v>
      </c>
      <c r="E7" s="1" t="s">
        <v>11</v>
      </c>
      <c r="F7" s="1" t="s">
        <v>82</v>
      </c>
      <c r="G7" s="1" t="s">
        <v>90</v>
      </c>
      <c r="H7" s="1" t="s">
        <v>91</v>
      </c>
      <c r="I7" s="1" t="s">
        <v>92</v>
      </c>
      <c r="J7" s="1" t="s">
        <v>86</v>
      </c>
      <c r="K7" s="5" t="s">
        <v>14</v>
      </c>
      <c r="L7" s="5" t="s">
        <v>87</v>
      </c>
      <c r="M7" s="6"/>
      <c r="N7" s="5" t="s">
        <v>87</v>
      </c>
      <c r="O7" s="5" t="s">
        <v>87</v>
      </c>
      <c r="P7" s="5" t="s">
        <v>87</v>
      </c>
      <c r="Q7" s="5" t="s">
        <v>87</v>
      </c>
    </row>
    <row r="8" ht="57" customHeight="1" spans="1:17">
      <c r="A8" s="1" t="s">
        <v>93</v>
      </c>
      <c r="B8" s="1" t="s">
        <v>31</v>
      </c>
      <c r="C8" s="1" t="s">
        <v>80</v>
      </c>
      <c r="D8" s="1" t="s">
        <v>94</v>
      </c>
      <c r="E8" s="1" t="s">
        <v>11</v>
      </c>
      <c r="F8" s="1" t="s">
        <v>82</v>
      </c>
      <c r="G8" s="1" t="s">
        <v>95</v>
      </c>
      <c r="H8" s="1" t="s">
        <v>96</v>
      </c>
      <c r="I8" s="1" t="s">
        <v>97</v>
      </c>
      <c r="J8" s="1" t="s">
        <v>86</v>
      </c>
      <c r="K8" s="5" t="s">
        <v>14</v>
      </c>
      <c r="L8" s="5" t="s">
        <v>87</v>
      </c>
      <c r="M8" s="6"/>
      <c r="N8" s="5" t="s">
        <v>87</v>
      </c>
      <c r="O8" s="5" t="s">
        <v>87</v>
      </c>
      <c r="P8" s="5" t="s">
        <v>87</v>
      </c>
      <c r="Q8" s="5" t="s">
        <v>87</v>
      </c>
    </row>
    <row r="9" ht="57" customHeight="1" spans="1:17">
      <c r="A9" s="1" t="s">
        <v>98</v>
      </c>
      <c r="B9" s="1" t="s">
        <v>31</v>
      </c>
      <c r="C9" s="1" t="s">
        <v>80</v>
      </c>
      <c r="D9" s="1" t="s">
        <v>99</v>
      </c>
      <c r="E9" s="1" t="s">
        <v>11</v>
      </c>
      <c r="F9" s="1" t="s">
        <v>82</v>
      </c>
      <c r="G9" s="1" t="s">
        <v>100</v>
      </c>
      <c r="H9" s="1" t="s">
        <v>101</v>
      </c>
      <c r="I9" s="1" t="s">
        <v>102</v>
      </c>
      <c r="J9" s="1" t="s">
        <v>86</v>
      </c>
      <c r="K9" s="5" t="s">
        <v>14</v>
      </c>
      <c r="L9" s="5" t="s">
        <v>87</v>
      </c>
      <c r="M9" s="6"/>
      <c r="N9" s="5" t="s">
        <v>87</v>
      </c>
      <c r="O9" s="5" t="s">
        <v>87</v>
      </c>
      <c r="P9" s="5" t="s">
        <v>87</v>
      </c>
      <c r="Q9" s="5" t="s">
        <v>87</v>
      </c>
    </row>
    <row r="10" ht="57" customHeight="1" spans="1:17">
      <c r="A10" s="1" t="s">
        <v>103</v>
      </c>
      <c r="B10" s="1" t="s">
        <v>31</v>
      </c>
      <c r="C10" s="1" t="s">
        <v>80</v>
      </c>
      <c r="D10" s="1" t="s">
        <v>104</v>
      </c>
      <c r="E10" s="1" t="s">
        <v>11</v>
      </c>
      <c r="F10" s="1" t="s">
        <v>82</v>
      </c>
      <c r="G10" s="1" t="s">
        <v>105</v>
      </c>
      <c r="H10" s="1" t="s">
        <v>106</v>
      </c>
      <c r="I10" s="1" t="s">
        <v>107</v>
      </c>
      <c r="J10" s="1" t="s">
        <v>86</v>
      </c>
      <c r="K10" s="5" t="s">
        <v>14</v>
      </c>
      <c r="L10" s="5" t="s">
        <v>87</v>
      </c>
      <c r="M10" s="6"/>
      <c r="N10" s="5" t="s">
        <v>87</v>
      </c>
      <c r="O10" s="5" t="s">
        <v>87</v>
      </c>
      <c r="P10" s="5" t="s">
        <v>87</v>
      </c>
      <c r="Q10" s="5" t="s">
        <v>87</v>
      </c>
    </row>
    <row r="11" ht="57" customHeight="1" spans="1:17">
      <c r="A11" s="1" t="s">
        <v>108</v>
      </c>
      <c r="B11" s="1" t="s">
        <v>31</v>
      </c>
      <c r="C11" s="1" t="s">
        <v>80</v>
      </c>
      <c r="D11" s="1" t="s">
        <v>109</v>
      </c>
      <c r="E11" s="1" t="s">
        <v>11</v>
      </c>
      <c r="F11" s="1" t="s">
        <v>82</v>
      </c>
      <c r="G11" s="1" t="s">
        <v>110</v>
      </c>
      <c r="H11" s="1" t="s">
        <v>106</v>
      </c>
      <c r="I11" s="1" t="s">
        <v>107</v>
      </c>
      <c r="J11" s="1" t="s">
        <v>86</v>
      </c>
      <c r="K11" s="5" t="s">
        <v>14</v>
      </c>
      <c r="L11" s="5" t="s">
        <v>87</v>
      </c>
      <c r="M11" s="6"/>
      <c r="N11" s="5" t="s">
        <v>87</v>
      </c>
      <c r="O11" s="5" t="s">
        <v>87</v>
      </c>
      <c r="P11" s="5" t="s">
        <v>87</v>
      </c>
      <c r="Q11" s="5" t="s">
        <v>87</v>
      </c>
    </row>
    <row r="12" ht="57" customHeight="1" spans="1:17">
      <c r="A12" s="1" t="s">
        <v>111</v>
      </c>
      <c r="B12" s="1" t="s">
        <v>31</v>
      </c>
      <c r="C12" s="1" t="s">
        <v>80</v>
      </c>
      <c r="D12" s="1" t="s">
        <v>112</v>
      </c>
      <c r="E12" s="1" t="s">
        <v>15</v>
      </c>
      <c r="F12" s="1" t="s">
        <v>82</v>
      </c>
      <c r="G12" s="1" t="s">
        <v>113</v>
      </c>
      <c r="H12" s="1" t="s">
        <v>114</v>
      </c>
      <c r="I12" s="1" t="s">
        <v>115</v>
      </c>
      <c r="J12" s="1" t="s">
        <v>86</v>
      </c>
      <c r="K12" s="5" t="s">
        <v>14</v>
      </c>
      <c r="L12" s="5" t="s">
        <v>87</v>
      </c>
      <c r="M12" s="6"/>
      <c r="N12" s="5" t="s">
        <v>87</v>
      </c>
      <c r="O12" s="5" t="s">
        <v>87</v>
      </c>
      <c r="P12" s="5" t="s">
        <v>87</v>
      </c>
      <c r="Q12" s="5" t="s">
        <v>87</v>
      </c>
    </row>
    <row r="13" ht="72" customHeight="1" spans="1:17">
      <c r="A13" s="1" t="s">
        <v>116</v>
      </c>
      <c r="B13" s="1" t="s">
        <v>31</v>
      </c>
      <c r="C13" s="1" t="s">
        <v>80</v>
      </c>
      <c r="D13" s="1" t="s">
        <v>117</v>
      </c>
      <c r="E13" s="1" t="s">
        <v>15</v>
      </c>
      <c r="F13" s="1" t="s">
        <v>82</v>
      </c>
      <c r="G13" s="1" t="s">
        <v>118</v>
      </c>
      <c r="H13" s="1" t="s">
        <v>119</v>
      </c>
      <c r="I13" s="1" t="s">
        <v>120</v>
      </c>
      <c r="J13" s="1" t="s">
        <v>86</v>
      </c>
      <c r="K13" s="5" t="s">
        <v>14</v>
      </c>
      <c r="L13" s="5" t="s">
        <v>87</v>
      </c>
      <c r="M13" s="6"/>
      <c r="N13" s="5" t="s">
        <v>87</v>
      </c>
      <c r="O13" s="5" t="s">
        <v>87</v>
      </c>
      <c r="P13" s="5" t="s">
        <v>87</v>
      </c>
      <c r="Q13" s="5" t="s">
        <v>87</v>
      </c>
    </row>
    <row r="14" ht="57" customHeight="1" spans="1:17">
      <c r="A14" s="1" t="s">
        <v>121</v>
      </c>
      <c r="B14" s="1" t="s">
        <v>31</v>
      </c>
      <c r="C14" s="1" t="s">
        <v>122</v>
      </c>
      <c r="D14" s="1" t="s">
        <v>123</v>
      </c>
      <c r="E14" s="1" t="s">
        <v>11</v>
      </c>
      <c r="F14" s="1" t="s">
        <v>124</v>
      </c>
      <c r="G14" s="1" t="s">
        <v>125</v>
      </c>
      <c r="H14" s="1" t="s">
        <v>126</v>
      </c>
      <c r="I14" s="1" t="s">
        <v>127</v>
      </c>
      <c r="J14" s="1" t="s">
        <v>128</v>
      </c>
      <c r="K14" s="5" t="s">
        <v>14</v>
      </c>
      <c r="L14" s="5" t="s">
        <v>87</v>
      </c>
      <c r="M14" s="6"/>
      <c r="N14" s="5" t="s">
        <v>87</v>
      </c>
      <c r="O14" s="5" t="s">
        <v>87</v>
      </c>
      <c r="P14" s="5" t="s">
        <v>87</v>
      </c>
      <c r="Q14" s="5" t="s">
        <v>87</v>
      </c>
    </row>
    <row r="15" ht="57" customHeight="1" spans="1:17">
      <c r="A15" s="1" t="s">
        <v>129</v>
      </c>
      <c r="B15" s="1" t="s">
        <v>31</v>
      </c>
      <c r="C15" s="1" t="s">
        <v>122</v>
      </c>
      <c r="D15" s="1" t="s">
        <v>130</v>
      </c>
      <c r="E15" s="1" t="s">
        <v>11</v>
      </c>
      <c r="F15" s="1" t="s">
        <v>124</v>
      </c>
      <c r="G15" s="1" t="s">
        <v>131</v>
      </c>
      <c r="H15" s="1" t="s">
        <v>132</v>
      </c>
      <c r="I15" s="1" t="s">
        <v>133</v>
      </c>
      <c r="J15" s="1" t="s">
        <v>134</v>
      </c>
      <c r="K15" s="5" t="s">
        <v>14</v>
      </c>
      <c r="L15" s="5" t="s">
        <v>87</v>
      </c>
      <c r="M15" s="6"/>
      <c r="N15" s="5" t="s">
        <v>87</v>
      </c>
      <c r="O15" s="5" t="s">
        <v>87</v>
      </c>
      <c r="P15" s="5" t="s">
        <v>87</v>
      </c>
      <c r="Q15" s="5" t="s">
        <v>87</v>
      </c>
    </row>
    <row r="16" ht="57" customHeight="1" spans="1:17">
      <c r="A16" s="1" t="s">
        <v>135</v>
      </c>
      <c r="B16" s="1" t="s">
        <v>31</v>
      </c>
      <c r="C16" s="1" t="s">
        <v>122</v>
      </c>
      <c r="D16" s="1" t="s">
        <v>136</v>
      </c>
      <c r="E16" s="1" t="s">
        <v>15</v>
      </c>
      <c r="F16" s="1" t="s">
        <v>124</v>
      </c>
      <c r="G16" s="1" t="s">
        <v>137</v>
      </c>
      <c r="H16" s="1" t="s">
        <v>138</v>
      </c>
      <c r="I16" s="1" t="s">
        <v>139</v>
      </c>
      <c r="J16" s="1" t="s">
        <v>140</v>
      </c>
      <c r="K16" s="5" t="s">
        <v>14</v>
      </c>
      <c r="L16" s="5" t="s">
        <v>87</v>
      </c>
      <c r="M16" s="6"/>
      <c r="N16" s="5" t="s">
        <v>87</v>
      </c>
      <c r="O16" s="5" t="s">
        <v>87</v>
      </c>
      <c r="P16" s="5" t="s">
        <v>87</v>
      </c>
      <c r="Q16" s="5" t="s">
        <v>87</v>
      </c>
    </row>
    <row r="17" ht="57" customHeight="1" spans="1:17">
      <c r="A17" s="1" t="s">
        <v>141</v>
      </c>
      <c r="B17" s="1" t="s">
        <v>31</v>
      </c>
      <c r="C17" s="1" t="s">
        <v>122</v>
      </c>
      <c r="D17" s="1" t="s">
        <v>142</v>
      </c>
      <c r="E17" s="1" t="s">
        <v>15</v>
      </c>
      <c r="F17" s="1" t="s">
        <v>124</v>
      </c>
      <c r="G17" s="1" t="s">
        <v>143</v>
      </c>
      <c r="H17" s="1" t="s">
        <v>144</v>
      </c>
      <c r="I17" s="1" t="s">
        <v>145</v>
      </c>
      <c r="J17" s="1" t="s">
        <v>134</v>
      </c>
      <c r="K17" s="5" t="s">
        <v>14</v>
      </c>
      <c r="L17" s="5" t="s">
        <v>87</v>
      </c>
      <c r="M17" s="6"/>
      <c r="N17" s="5" t="s">
        <v>87</v>
      </c>
      <c r="O17" s="5" t="s">
        <v>87</v>
      </c>
      <c r="P17" s="5" t="s">
        <v>87</v>
      </c>
      <c r="Q17" s="5" t="s">
        <v>87</v>
      </c>
    </row>
    <row r="18" ht="72" customHeight="1" spans="1:17">
      <c r="A18" s="1" t="s">
        <v>146</v>
      </c>
      <c r="B18" s="1" t="s">
        <v>31</v>
      </c>
      <c r="C18" s="1" t="s">
        <v>80</v>
      </c>
      <c r="D18" s="1" t="s">
        <v>147</v>
      </c>
      <c r="E18" s="1" t="s">
        <v>11</v>
      </c>
      <c r="F18" s="1" t="s">
        <v>148</v>
      </c>
      <c r="G18" s="1" t="s">
        <v>149</v>
      </c>
      <c r="H18" s="1" t="s">
        <v>150</v>
      </c>
      <c r="I18" s="1" t="s">
        <v>151</v>
      </c>
      <c r="J18" s="1" t="s">
        <v>86</v>
      </c>
      <c r="K18" s="5" t="s">
        <v>14</v>
      </c>
      <c r="L18" s="5" t="s">
        <v>87</v>
      </c>
      <c r="M18" s="6"/>
      <c r="N18" s="5" t="s">
        <v>87</v>
      </c>
      <c r="O18" s="5" t="s">
        <v>87</v>
      </c>
      <c r="P18" s="5" t="s">
        <v>87</v>
      </c>
      <c r="Q18" s="5" t="s">
        <v>87</v>
      </c>
    </row>
    <row r="19" ht="57" customHeight="1" spans="1:17">
      <c r="A19" s="1" t="s">
        <v>152</v>
      </c>
      <c r="B19" s="1" t="s">
        <v>31</v>
      </c>
      <c r="C19" s="1" t="s">
        <v>80</v>
      </c>
      <c r="D19" s="1" t="s">
        <v>153</v>
      </c>
      <c r="E19" s="1" t="s">
        <v>15</v>
      </c>
      <c r="F19" s="1" t="s">
        <v>148</v>
      </c>
      <c r="G19" s="1" t="s">
        <v>154</v>
      </c>
      <c r="H19" s="1" t="s">
        <v>155</v>
      </c>
      <c r="I19" s="1" t="s">
        <v>156</v>
      </c>
      <c r="J19" s="1" t="s">
        <v>86</v>
      </c>
      <c r="K19" s="5" t="s">
        <v>14</v>
      </c>
      <c r="L19" s="5" t="s">
        <v>87</v>
      </c>
      <c r="M19" s="6"/>
      <c r="N19" s="5" t="s">
        <v>87</v>
      </c>
      <c r="O19" s="5" t="s">
        <v>87</v>
      </c>
      <c r="P19" s="5" t="s">
        <v>87</v>
      </c>
      <c r="Q19" s="5" t="s">
        <v>87</v>
      </c>
    </row>
    <row r="20" ht="57" customHeight="1" spans="1:17">
      <c r="A20" s="1" t="s">
        <v>157</v>
      </c>
      <c r="B20" s="1" t="s">
        <v>31</v>
      </c>
      <c r="C20" s="1" t="s">
        <v>80</v>
      </c>
      <c r="D20" s="1" t="s">
        <v>158</v>
      </c>
      <c r="E20" s="1" t="s">
        <v>15</v>
      </c>
      <c r="F20" s="1" t="s">
        <v>148</v>
      </c>
      <c r="G20" s="1" t="s">
        <v>159</v>
      </c>
      <c r="H20" s="1" t="s">
        <v>160</v>
      </c>
      <c r="I20" s="1" t="s">
        <v>161</v>
      </c>
      <c r="J20" s="1" t="s">
        <v>162</v>
      </c>
      <c r="K20" s="5" t="s">
        <v>14</v>
      </c>
      <c r="L20" s="5" t="s">
        <v>87</v>
      </c>
      <c r="M20" s="6"/>
      <c r="N20" s="5" t="s">
        <v>87</v>
      </c>
      <c r="O20" s="5" t="s">
        <v>87</v>
      </c>
      <c r="P20" s="5" t="s">
        <v>87</v>
      </c>
      <c r="Q20" s="5" t="s">
        <v>87</v>
      </c>
    </row>
    <row r="21" ht="72" customHeight="1" spans="1:17">
      <c r="A21" s="1" t="s">
        <v>163</v>
      </c>
      <c r="B21" s="1" t="s">
        <v>31</v>
      </c>
      <c r="C21" s="1" t="s">
        <v>80</v>
      </c>
      <c r="D21" s="1" t="s">
        <v>164</v>
      </c>
      <c r="E21" s="1" t="s">
        <v>11</v>
      </c>
      <c r="F21" s="1" t="s">
        <v>148</v>
      </c>
      <c r="G21" s="1" t="s">
        <v>165</v>
      </c>
      <c r="H21" s="1" t="s">
        <v>166</v>
      </c>
      <c r="I21" s="1" t="s">
        <v>167</v>
      </c>
      <c r="J21" s="1" t="s">
        <v>168</v>
      </c>
      <c r="K21" s="5" t="s">
        <v>14</v>
      </c>
      <c r="L21" s="5" t="s">
        <v>87</v>
      </c>
      <c r="M21" s="6"/>
      <c r="N21" s="5" t="s">
        <v>87</v>
      </c>
      <c r="O21" s="5" t="s">
        <v>87</v>
      </c>
      <c r="P21" s="5" t="s">
        <v>87</v>
      </c>
      <c r="Q21" s="5" t="s">
        <v>87</v>
      </c>
    </row>
    <row r="22" ht="57" customHeight="1" spans="1:17">
      <c r="A22" s="1" t="s">
        <v>169</v>
      </c>
      <c r="B22" s="1" t="s">
        <v>31</v>
      </c>
      <c r="C22" s="1" t="s">
        <v>80</v>
      </c>
      <c r="D22" s="1" t="s">
        <v>170</v>
      </c>
      <c r="E22" s="1" t="s">
        <v>15</v>
      </c>
      <c r="F22" s="1" t="s">
        <v>148</v>
      </c>
      <c r="G22" s="1" t="s">
        <v>171</v>
      </c>
      <c r="H22" s="1" t="s">
        <v>172</v>
      </c>
      <c r="I22" s="1" t="s">
        <v>173</v>
      </c>
      <c r="J22" s="1" t="s">
        <v>174</v>
      </c>
      <c r="K22" s="5" t="s">
        <v>14</v>
      </c>
      <c r="L22" s="5" t="s">
        <v>87</v>
      </c>
      <c r="M22" s="6"/>
      <c r="N22" s="5" t="s">
        <v>87</v>
      </c>
      <c r="O22" s="5" t="s">
        <v>87</v>
      </c>
      <c r="P22" s="5" t="s">
        <v>87</v>
      </c>
      <c r="Q22" s="5" t="s">
        <v>87</v>
      </c>
    </row>
    <row r="23" ht="72" customHeight="1" spans="1:17">
      <c r="A23" s="1" t="s">
        <v>175</v>
      </c>
      <c r="B23" s="1" t="s">
        <v>33</v>
      </c>
      <c r="C23" s="1" t="s">
        <v>176</v>
      </c>
      <c r="D23" s="1" t="s">
        <v>177</v>
      </c>
      <c r="E23" s="1" t="s">
        <v>11</v>
      </c>
      <c r="F23" s="1" t="s">
        <v>178</v>
      </c>
      <c r="G23" s="1" t="s">
        <v>179</v>
      </c>
      <c r="H23" s="1" t="s">
        <v>180</v>
      </c>
      <c r="I23" s="1" t="s">
        <v>181</v>
      </c>
      <c r="J23" s="1" t="s">
        <v>86</v>
      </c>
      <c r="K23" s="5" t="s">
        <v>14</v>
      </c>
      <c r="L23" s="5" t="s">
        <v>87</v>
      </c>
      <c r="M23" s="6"/>
      <c r="N23" s="5" t="s">
        <v>87</v>
      </c>
      <c r="O23" s="5" t="s">
        <v>87</v>
      </c>
      <c r="P23" s="5" t="s">
        <v>87</v>
      </c>
      <c r="Q23" s="5" t="s">
        <v>87</v>
      </c>
    </row>
    <row r="24" ht="57" customHeight="1" spans="1:17">
      <c r="A24" s="1" t="s">
        <v>182</v>
      </c>
      <c r="B24" s="1" t="s">
        <v>33</v>
      </c>
      <c r="C24" s="1" t="s">
        <v>176</v>
      </c>
      <c r="D24" s="1" t="s">
        <v>183</v>
      </c>
      <c r="E24" s="1" t="s">
        <v>15</v>
      </c>
      <c r="F24" s="1" t="s">
        <v>178</v>
      </c>
      <c r="G24" s="1" t="s">
        <v>184</v>
      </c>
      <c r="H24" s="1" t="s">
        <v>185</v>
      </c>
      <c r="I24" s="1" t="s">
        <v>186</v>
      </c>
      <c r="J24" s="1" t="s">
        <v>86</v>
      </c>
      <c r="K24" s="5" t="s">
        <v>14</v>
      </c>
      <c r="L24" s="5" t="s">
        <v>87</v>
      </c>
      <c r="M24" s="6"/>
      <c r="N24" s="5" t="s">
        <v>87</v>
      </c>
      <c r="O24" s="5" t="s">
        <v>87</v>
      </c>
      <c r="P24" s="5" t="s">
        <v>87</v>
      </c>
      <c r="Q24" s="5" t="s">
        <v>87</v>
      </c>
    </row>
    <row r="25" ht="42" customHeight="1" spans="1:17">
      <c r="A25" s="1" t="s">
        <v>187</v>
      </c>
      <c r="B25" s="1" t="s">
        <v>33</v>
      </c>
      <c r="C25" s="1" t="s">
        <v>176</v>
      </c>
      <c r="D25" s="1" t="s">
        <v>188</v>
      </c>
      <c r="E25" s="1" t="s">
        <v>15</v>
      </c>
      <c r="F25" s="1" t="s">
        <v>178</v>
      </c>
      <c r="G25" s="1" t="s">
        <v>189</v>
      </c>
      <c r="H25" s="1" t="s">
        <v>190</v>
      </c>
      <c r="I25" s="1" t="s">
        <v>191</v>
      </c>
      <c r="J25" s="1" t="s">
        <v>86</v>
      </c>
      <c r="K25" s="5" t="s">
        <v>14</v>
      </c>
      <c r="L25" s="5" t="s">
        <v>87</v>
      </c>
      <c r="M25" s="6"/>
      <c r="N25" s="5" t="s">
        <v>87</v>
      </c>
      <c r="O25" s="5" t="s">
        <v>87</v>
      </c>
      <c r="P25" s="5" t="s">
        <v>87</v>
      </c>
      <c r="Q25" s="5" t="s">
        <v>87</v>
      </c>
    </row>
    <row r="26" ht="57" customHeight="1" spans="1:17">
      <c r="A26" s="1" t="s">
        <v>192</v>
      </c>
      <c r="B26" s="1" t="s">
        <v>33</v>
      </c>
      <c r="C26" s="1" t="s">
        <v>176</v>
      </c>
      <c r="D26" s="1" t="s">
        <v>193</v>
      </c>
      <c r="E26" s="1" t="s">
        <v>15</v>
      </c>
      <c r="F26" s="1" t="s">
        <v>178</v>
      </c>
      <c r="G26" s="1" t="s">
        <v>194</v>
      </c>
      <c r="H26" s="1" t="s">
        <v>195</v>
      </c>
      <c r="I26" s="1" t="s">
        <v>196</v>
      </c>
      <c r="J26" s="1" t="s">
        <v>86</v>
      </c>
      <c r="K26" s="5" t="s">
        <v>14</v>
      </c>
      <c r="L26" s="5" t="s">
        <v>87</v>
      </c>
      <c r="M26" s="6"/>
      <c r="N26" s="5" t="s">
        <v>87</v>
      </c>
      <c r="O26" s="5" t="s">
        <v>87</v>
      </c>
      <c r="P26" s="5" t="s">
        <v>87</v>
      </c>
      <c r="Q26" s="5" t="s">
        <v>87</v>
      </c>
    </row>
    <row r="27" ht="57" customHeight="1" spans="1:17">
      <c r="A27" s="1" t="s">
        <v>197</v>
      </c>
      <c r="B27" s="1" t="s">
        <v>33</v>
      </c>
      <c r="C27" s="1" t="s">
        <v>176</v>
      </c>
      <c r="D27" s="1" t="s">
        <v>198</v>
      </c>
      <c r="E27" s="1" t="s">
        <v>15</v>
      </c>
      <c r="F27" s="1" t="s">
        <v>178</v>
      </c>
      <c r="G27" s="1" t="s">
        <v>199</v>
      </c>
      <c r="H27" s="1" t="s">
        <v>195</v>
      </c>
      <c r="I27" s="1" t="s">
        <v>200</v>
      </c>
      <c r="J27" s="1" t="s">
        <v>86</v>
      </c>
      <c r="K27" s="5" t="s">
        <v>14</v>
      </c>
      <c r="L27" s="5" t="s">
        <v>87</v>
      </c>
      <c r="M27" s="6"/>
      <c r="N27" s="5" t="s">
        <v>87</v>
      </c>
      <c r="O27" s="5" t="s">
        <v>87</v>
      </c>
      <c r="P27" s="5" t="s">
        <v>87</v>
      </c>
      <c r="Q27" s="5" t="s">
        <v>87</v>
      </c>
    </row>
    <row r="28" ht="57" customHeight="1" spans="1:17">
      <c r="A28" s="1" t="s">
        <v>201</v>
      </c>
      <c r="B28" s="1" t="s">
        <v>33</v>
      </c>
      <c r="C28" s="1" t="s">
        <v>176</v>
      </c>
      <c r="D28" s="1" t="s">
        <v>202</v>
      </c>
      <c r="E28" s="1" t="s">
        <v>11</v>
      </c>
      <c r="F28" s="1" t="s">
        <v>178</v>
      </c>
      <c r="G28" s="1" t="s">
        <v>203</v>
      </c>
      <c r="H28" s="1" t="s">
        <v>204</v>
      </c>
      <c r="I28" s="1" t="s">
        <v>205</v>
      </c>
      <c r="J28" s="1" t="s">
        <v>86</v>
      </c>
      <c r="K28" s="5" t="s">
        <v>14</v>
      </c>
      <c r="L28" s="5" t="s">
        <v>87</v>
      </c>
      <c r="M28" s="6"/>
      <c r="N28" s="5" t="s">
        <v>87</v>
      </c>
      <c r="O28" s="5" t="s">
        <v>87</v>
      </c>
      <c r="P28" s="5" t="s">
        <v>87</v>
      </c>
      <c r="Q28" s="5" t="s">
        <v>87</v>
      </c>
    </row>
    <row r="29" ht="57" customHeight="1" spans="1:17">
      <c r="A29" s="1" t="s">
        <v>206</v>
      </c>
      <c r="B29" s="1" t="s">
        <v>33</v>
      </c>
      <c r="C29" s="1" t="s">
        <v>176</v>
      </c>
      <c r="D29" s="1" t="s">
        <v>207</v>
      </c>
      <c r="E29" s="1" t="s">
        <v>15</v>
      </c>
      <c r="F29" s="1" t="s">
        <v>178</v>
      </c>
      <c r="G29" s="1" t="s">
        <v>208</v>
      </c>
      <c r="H29" s="1" t="s">
        <v>209</v>
      </c>
      <c r="I29" s="1" t="s">
        <v>210</v>
      </c>
      <c r="J29" s="1" t="s">
        <v>86</v>
      </c>
      <c r="K29" s="5" t="s">
        <v>14</v>
      </c>
      <c r="L29" s="5" t="s">
        <v>87</v>
      </c>
      <c r="M29" s="6"/>
      <c r="N29" s="5" t="s">
        <v>87</v>
      </c>
      <c r="O29" s="5" t="s">
        <v>87</v>
      </c>
      <c r="P29" s="5" t="s">
        <v>87</v>
      </c>
      <c r="Q29" s="5" t="s">
        <v>87</v>
      </c>
    </row>
    <row r="30" ht="42" customHeight="1" spans="1:17">
      <c r="A30" s="1" t="s">
        <v>211</v>
      </c>
      <c r="B30" s="1" t="s">
        <v>33</v>
      </c>
      <c r="C30" s="1" t="s">
        <v>176</v>
      </c>
      <c r="D30" s="1" t="s">
        <v>212</v>
      </c>
      <c r="E30" s="1" t="s">
        <v>11</v>
      </c>
      <c r="F30" s="1" t="s">
        <v>178</v>
      </c>
      <c r="G30" s="1" t="s">
        <v>213</v>
      </c>
      <c r="H30" s="1" t="s">
        <v>214</v>
      </c>
      <c r="I30" s="1" t="s">
        <v>215</v>
      </c>
      <c r="J30" s="1" t="s">
        <v>86</v>
      </c>
      <c r="K30" s="5" t="s">
        <v>14</v>
      </c>
      <c r="L30" s="5" t="s">
        <v>87</v>
      </c>
      <c r="M30" s="6"/>
      <c r="N30" s="5" t="s">
        <v>87</v>
      </c>
      <c r="O30" s="5" t="s">
        <v>87</v>
      </c>
      <c r="P30" s="5" t="s">
        <v>87</v>
      </c>
      <c r="Q30" s="5" t="s">
        <v>87</v>
      </c>
    </row>
    <row r="31" ht="42" customHeight="1" spans="1:17">
      <c r="A31" s="1" t="s">
        <v>216</v>
      </c>
      <c r="B31" s="1" t="s">
        <v>33</v>
      </c>
      <c r="C31" s="1" t="s">
        <v>176</v>
      </c>
      <c r="D31" s="1" t="s">
        <v>217</v>
      </c>
      <c r="E31" s="1" t="s">
        <v>11</v>
      </c>
      <c r="F31" s="1" t="s">
        <v>178</v>
      </c>
      <c r="G31" s="1" t="s">
        <v>218</v>
      </c>
      <c r="H31" s="1" t="s">
        <v>219</v>
      </c>
      <c r="I31" s="1" t="s">
        <v>220</v>
      </c>
      <c r="J31" s="1" t="s">
        <v>86</v>
      </c>
      <c r="K31" s="5" t="s">
        <v>14</v>
      </c>
      <c r="L31" s="5" t="s">
        <v>87</v>
      </c>
      <c r="M31" s="6"/>
      <c r="N31" s="5" t="s">
        <v>87</v>
      </c>
      <c r="O31" s="5" t="s">
        <v>87</v>
      </c>
      <c r="P31" s="5" t="s">
        <v>87</v>
      </c>
      <c r="Q31" s="5" t="s">
        <v>87</v>
      </c>
    </row>
    <row r="32" ht="42" customHeight="1" spans="1:17">
      <c r="A32" s="1" t="s">
        <v>221</v>
      </c>
      <c r="B32" s="1" t="s">
        <v>33</v>
      </c>
      <c r="C32" s="1" t="s">
        <v>176</v>
      </c>
      <c r="D32" s="1" t="s">
        <v>222</v>
      </c>
      <c r="E32" s="1" t="s">
        <v>11</v>
      </c>
      <c r="F32" s="1" t="s">
        <v>178</v>
      </c>
      <c r="G32" s="1" t="s">
        <v>223</v>
      </c>
      <c r="H32" s="1" t="s">
        <v>224</v>
      </c>
      <c r="I32" s="1" t="s">
        <v>225</v>
      </c>
      <c r="J32" s="1" t="s">
        <v>86</v>
      </c>
      <c r="K32" s="5" t="s">
        <v>14</v>
      </c>
      <c r="L32" s="5" t="s">
        <v>87</v>
      </c>
      <c r="M32" s="6"/>
      <c r="N32" s="5" t="s">
        <v>87</v>
      </c>
      <c r="O32" s="5" t="s">
        <v>87</v>
      </c>
      <c r="P32" s="5" t="s">
        <v>87</v>
      </c>
      <c r="Q32" s="5" t="s">
        <v>87</v>
      </c>
    </row>
    <row r="33" ht="72" customHeight="1" spans="1:17">
      <c r="A33" s="1" t="s">
        <v>226</v>
      </c>
      <c r="B33" s="1" t="s">
        <v>35</v>
      </c>
      <c r="C33" s="1" t="s">
        <v>176</v>
      </c>
      <c r="D33" s="1" t="s">
        <v>227</v>
      </c>
      <c r="E33" s="1" t="s">
        <v>11</v>
      </c>
      <c r="F33" s="1" t="s">
        <v>228</v>
      </c>
      <c r="G33" s="1" t="s">
        <v>229</v>
      </c>
      <c r="H33" s="1" t="s">
        <v>230</v>
      </c>
      <c r="I33" s="1" t="s">
        <v>231</v>
      </c>
      <c r="J33" s="1" t="s">
        <v>86</v>
      </c>
      <c r="K33" s="5" t="s">
        <v>14</v>
      </c>
      <c r="L33" s="5" t="s">
        <v>87</v>
      </c>
      <c r="M33" s="6"/>
      <c r="N33" s="5" t="s">
        <v>87</v>
      </c>
      <c r="O33" s="5" t="s">
        <v>87</v>
      </c>
      <c r="P33" s="5" t="s">
        <v>87</v>
      </c>
      <c r="Q33" s="5" t="s">
        <v>87</v>
      </c>
    </row>
    <row r="34" ht="57" customHeight="1" spans="1:17">
      <c r="A34" s="1" t="s">
        <v>232</v>
      </c>
      <c r="B34" s="1" t="s">
        <v>35</v>
      </c>
      <c r="C34" s="1" t="s">
        <v>176</v>
      </c>
      <c r="D34" s="1" t="s">
        <v>233</v>
      </c>
      <c r="E34" s="1" t="s">
        <v>15</v>
      </c>
      <c r="F34" s="1" t="s">
        <v>228</v>
      </c>
      <c r="G34" s="1" t="s">
        <v>234</v>
      </c>
      <c r="H34" s="1" t="s">
        <v>235</v>
      </c>
      <c r="I34" s="1" t="s">
        <v>236</v>
      </c>
      <c r="J34" s="1" t="s">
        <v>237</v>
      </c>
      <c r="K34" s="5" t="s">
        <v>14</v>
      </c>
      <c r="L34" s="5" t="s">
        <v>87</v>
      </c>
      <c r="M34" s="6"/>
      <c r="N34" s="5" t="s">
        <v>87</v>
      </c>
      <c r="O34" s="5" t="s">
        <v>87</v>
      </c>
      <c r="P34" s="5" t="s">
        <v>87</v>
      </c>
      <c r="Q34" s="5" t="s">
        <v>87</v>
      </c>
    </row>
    <row r="35" ht="57" customHeight="1" spans="1:17">
      <c r="A35" s="1" t="s">
        <v>238</v>
      </c>
      <c r="B35" s="1" t="s">
        <v>35</v>
      </c>
      <c r="C35" s="1" t="s">
        <v>176</v>
      </c>
      <c r="D35" s="1" t="s">
        <v>239</v>
      </c>
      <c r="E35" s="1" t="s">
        <v>15</v>
      </c>
      <c r="F35" s="1" t="s">
        <v>228</v>
      </c>
      <c r="G35" s="1" t="s">
        <v>240</v>
      </c>
      <c r="H35" s="1" t="s">
        <v>235</v>
      </c>
      <c r="I35" s="1" t="s">
        <v>241</v>
      </c>
      <c r="J35" s="1" t="s">
        <v>237</v>
      </c>
      <c r="K35" s="5" t="s">
        <v>14</v>
      </c>
      <c r="L35" s="5" t="s">
        <v>87</v>
      </c>
      <c r="M35" s="6"/>
      <c r="N35" s="5" t="s">
        <v>87</v>
      </c>
      <c r="O35" s="5" t="s">
        <v>87</v>
      </c>
      <c r="P35" s="5" t="s">
        <v>87</v>
      </c>
      <c r="Q35" s="5" t="s">
        <v>87</v>
      </c>
    </row>
    <row r="36" ht="57" customHeight="1" spans="1:17">
      <c r="A36" s="1" t="s">
        <v>242</v>
      </c>
      <c r="B36" s="1" t="s">
        <v>35</v>
      </c>
      <c r="C36" s="1" t="s">
        <v>176</v>
      </c>
      <c r="D36" s="1" t="s">
        <v>243</v>
      </c>
      <c r="E36" s="1" t="s">
        <v>15</v>
      </c>
      <c r="F36" s="1" t="s">
        <v>228</v>
      </c>
      <c r="G36" s="1" t="s">
        <v>244</v>
      </c>
      <c r="H36" s="1" t="s">
        <v>235</v>
      </c>
      <c r="I36" s="1" t="s">
        <v>245</v>
      </c>
      <c r="J36" s="1" t="s">
        <v>237</v>
      </c>
      <c r="K36" s="5" t="s">
        <v>14</v>
      </c>
      <c r="L36" s="5" t="s">
        <v>87</v>
      </c>
      <c r="M36" s="6"/>
      <c r="N36" s="5" t="s">
        <v>87</v>
      </c>
      <c r="O36" s="5" t="s">
        <v>87</v>
      </c>
      <c r="P36" s="5" t="s">
        <v>87</v>
      </c>
      <c r="Q36" s="5" t="s">
        <v>87</v>
      </c>
    </row>
    <row r="37" ht="57" customHeight="1" spans="1:17">
      <c r="A37" s="1" t="s">
        <v>246</v>
      </c>
      <c r="B37" s="1" t="s">
        <v>35</v>
      </c>
      <c r="C37" s="1" t="s">
        <v>176</v>
      </c>
      <c r="D37" s="1" t="s">
        <v>247</v>
      </c>
      <c r="E37" s="1" t="s">
        <v>15</v>
      </c>
      <c r="F37" s="1" t="s">
        <v>228</v>
      </c>
      <c r="G37" s="1" t="s">
        <v>248</v>
      </c>
      <c r="H37" s="1" t="s">
        <v>235</v>
      </c>
      <c r="I37" s="1" t="s">
        <v>249</v>
      </c>
      <c r="J37" s="1" t="s">
        <v>237</v>
      </c>
      <c r="K37" s="5" t="s">
        <v>14</v>
      </c>
      <c r="L37" s="5" t="s">
        <v>87</v>
      </c>
      <c r="M37" s="6"/>
      <c r="N37" s="5" t="s">
        <v>87</v>
      </c>
      <c r="O37" s="5" t="s">
        <v>87</v>
      </c>
      <c r="P37" s="5" t="s">
        <v>87</v>
      </c>
      <c r="Q37" s="5" t="s">
        <v>87</v>
      </c>
    </row>
    <row r="38" ht="57" customHeight="1" spans="1:17">
      <c r="A38" s="1" t="s">
        <v>250</v>
      </c>
      <c r="B38" s="1" t="s">
        <v>35</v>
      </c>
      <c r="C38" s="1" t="s">
        <v>176</v>
      </c>
      <c r="D38" s="1" t="s">
        <v>251</v>
      </c>
      <c r="E38" s="1" t="s">
        <v>15</v>
      </c>
      <c r="F38" s="1" t="s">
        <v>228</v>
      </c>
      <c r="G38" s="1" t="s">
        <v>252</v>
      </c>
      <c r="H38" s="1" t="s">
        <v>253</v>
      </c>
      <c r="I38" s="1" t="s">
        <v>254</v>
      </c>
      <c r="J38" s="1" t="s">
        <v>86</v>
      </c>
      <c r="K38" s="5" t="s">
        <v>14</v>
      </c>
      <c r="L38" s="5" t="s">
        <v>87</v>
      </c>
      <c r="M38" s="6"/>
      <c r="N38" s="5" t="s">
        <v>87</v>
      </c>
      <c r="O38" s="5" t="s">
        <v>87</v>
      </c>
      <c r="P38" s="5" t="s">
        <v>87</v>
      </c>
      <c r="Q38" s="5" t="s">
        <v>87</v>
      </c>
    </row>
    <row r="39" ht="57" customHeight="1" spans="1:17">
      <c r="A39" s="1" t="s">
        <v>255</v>
      </c>
      <c r="B39" s="1" t="s">
        <v>35</v>
      </c>
      <c r="C39" s="1" t="s">
        <v>176</v>
      </c>
      <c r="D39" s="1" t="s">
        <v>256</v>
      </c>
      <c r="E39" s="1" t="s">
        <v>15</v>
      </c>
      <c r="F39" s="1" t="s">
        <v>228</v>
      </c>
      <c r="G39" s="1" t="s">
        <v>257</v>
      </c>
      <c r="H39" s="1" t="s">
        <v>258</v>
      </c>
      <c r="I39" s="1" t="s">
        <v>259</v>
      </c>
      <c r="J39" s="1" t="s">
        <v>86</v>
      </c>
      <c r="K39" s="5" t="s">
        <v>14</v>
      </c>
      <c r="L39" s="5" t="s">
        <v>87</v>
      </c>
      <c r="M39" s="6"/>
      <c r="N39" s="5" t="s">
        <v>87</v>
      </c>
      <c r="O39" s="5" t="s">
        <v>87</v>
      </c>
      <c r="P39" s="5" t="s">
        <v>87</v>
      </c>
      <c r="Q39" s="5" t="s">
        <v>87</v>
      </c>
    </row>
    <row r="40" ht="57" customHeight="1" spans="1:17">
      <c r="A40" s="1" t="s">
        <v>260</v>
      </c>
      <c r="B40" s="1" t="s">
        <v>35</v>
      </c>
      <c r="C40" s="1" t="s">
        <v>176</v>
      </c>
      <c r="D40" s="1" t="s">
        <v>261</v>
      </c>
      <c r="E40" s="1" t="s">
        <v>11</v>
      </c>
      <c r="F40" s="1" t="s">
        <v>228</v>
      </c>
      <c r="G40" s="1" t="s">
        <v>262</v>
      </c>
      <c r="H40" s="1" t="s">
        <v>263</v>
      </c>
      <c r="I40" s="1" t="s">
        <v>264</v>
      </c>
      <c r="J40" s="1" t="s">
        <v>86</v>
      </c>
      <c r="K40" s="5" t="s">
        <v>14</v>
      </c>
      <c r="L40" s="5" t="s">
        <v>87</v>
      </c>
      <c r="M40" s="6"/>
      <c r="N40" s="5" t="s">
        <v>87</v>
      </c>
      <c r="O40" s="5" t="s">
        <v>87</v>
      </c>
      <c r="P40" s="5" t="s">
        <v>87</v>
      </c>
      <c r="Q40" s="5" t="s">
        <v>87</v>
      </c>
    </row>
    <row r="41" ht="57" customHeight="1" spans="1:17">
      <c r="A41" s="1" t="s">
        <v>265</v>
      </c>
      <c r="B41" s="1" t="s">
        <v>35</v>
      </c>
      <c r="C41" s="1" t="s">
        <v>176</v>
      </c>
      <c r="D41" s="1" t="s">
        <v>266</v>
      </c>
      <c r="E41" s="1" t="s">
        <v>11</v>
      </c>
      <c r="F41" s="1" t="s">
        <v>228</v>
      </c>
      <c r="G41" s="1" t="s">
        <v>267</v>
      </c>
      <c r="H41" s="1" t="s">
        <v>268</v>
      </c>
      <c r="I41" s="1" t="s">
        <v>269</v>
      </c>
      <c r="J41" s="1" t="s">
        <v>86</v>
      </c>
      <c r="K41" s="5" t="s">
        <v>14</v>
      </c>
      <c r="L41" s="5" t="s">
        <v>87</v>
      </c>
      <c r="M41" s="6"/>
      <c r="N41" s="5" t="s">
        <v>87</v>
      </c>
      <c r="O41" s="5" t="s">
        <v>87</v>
      </c>
      <c r="P41" s="5" t="s">
        <v>87</v>
      </c>
      <c r="Q41" s="5" t="s">
        <v>87</v>
      </c>
    </row>
    <row r="42" ht="57" customHeight="1" spans="1:17">
      <c r="A42" s="1" t="s">
        <v>270</v>
      </c>
      <c r="B42" s="1" t="s">
        <v>37</v>
      </c>
      <c r="C42" s="1" t="s">
        <v>176</v>
      </c>
      <c r="D42" s="1" t="s">
        <v>271</v>
      </c>
      <c r="E42" s="1" t="s">
        <v>11</v>
      </c>
      <c r="F42" s="1" t="s">
        <v>272</v>
      </c>
      <c r="G42" s="1" t="s">
        <v>273</v>
      </c>
      <c r="H42" s="1" t="s">
        <v>274</v>
      </c>
      <c r="I42" s="1" t="s">
        <v>275</v>
      </c>
      <c r="J42" s="1" t="s">
        <v>86</v>
      </c>
      <c r="K42" s="5" t="s">
        <v>14</v>
      </c>
      <c r="L42" s="5" t="s">
        <v>87</v>
      </c>
      <c r="M42" s="6"/>
      <c r="N42" s="5" t="s">
        <v>87</v>
      </c>
      <c r="O42" s="5" t="s">
        <v>87</v>
      </c>
      <c r="P42" s="5" t="s">
        <v>87</v>
      </c>
      <c r="Q42" s="5" t="s">
        <v>87</v>
      </c>
    </row>
    <row r="43" ht="57" customHeight="1" spans="1:17">
      <c r="A43" s="1" t="s">
        <v>276</v>
      </c>
      <c r="B43" s="1" t="s">
        <v>37</v>
      </c>
      <c r="C43" s="1" t="s">
        <v>176</v>
      </c>
      <c r="D43" s="1" t="s">
        <v>277</v>
      </c>
      <c r="E43" s="1" t="s">
        <v>15</v>
      </c>
      <c r="F43" s="1" t="s">
        <v>272</v>
      </c>
      <c r="G43" s="1" t="s">
        <v>278</v>
      </c>
      <c r="H43" s="1" t="s">
        <v>279</v>
      </c>
      <c r="I43" s="1" t="s">
        <v>280</v>
      </c>
      <c r="J43" s="1" t="s">
        <v>86</v>
      </c>
      <c r="K43" s="5" t="s">
        <v>14</v>
      </c>
      <c r="L43" s="5" t="s">
        <v>87</v>
      </c>
      <c r="M43" s="6"/>
      <c r="N43" s="5" t="s">
        <v>87</v>
      </c>
      <c r="O43" s="5" t="s">
        <v>87</v>
      </c>
      <c r="P43" s="5" t="s">
        <v>87</v>
      </c>
      <c r="Q43" s="5" t="s">
        <v>87</v>
      </c>
    </row>
    <row r="44" ht="42" customHeight="1" spans="1:17">
      <c r="A44" s="1" t="s">
        <v>281</v>
      </c>
      <c r="B44" s="1" t="s">
        <v>37</v>
      </c>
      <c r="C44" s="1" t="s">
        <v>176</v>
      </c>
      <c r="D44" s="1" t="s">
        <v>282</v>
      </c>
      <c r="E44" s="1" t="s">
        <v>15</v>
      </c>
      <c r="F44" s="1" t="s">
        <v>272</v>
      </c>
      <c r="G44" s="1" t="s">
        <v>283</v>
      </c>
      <c r="H44" s="1" t="s">
        <v>284</v>
      </c>
      <c r="I44" s="1" t="s">
        <v>285</v>
      </c>
      <c r="J44" s="1" t="s">
        <v>86</v>
      </c>
      <c r="K44" s="5" t="s">
        <v>14</v>
      </c>
      <c r="L44" s="5" t="s">
        <v>87</v>
      </c>
      <c r="M44" s="6"/>
      <c r="N44" s="5" t="s">
        <v>87</v>
      </c>
      <c r="O44" s="5" t="s">
        <v>87</v>
      </c>
      <c r="P44" s="5" t="s">
        <v>87</v>
      </c>
      <c r="Q44" s="5" t="s">
        <v>87</v>
      </c>
    </row>
    <row r="45" ht="57" customHeight="1" spans="1:17">
      <c r="A45" s="1" t="s">
        <v>286</v>
      </c>
      <c r="B45" s="1" t="s">
        <v>37</v>
      </c>
      <c r="C45" s="1" t="s">
        <v>176</v>
      </c>
      <c r="D45" s="1" t="s">
        <v>287</v>
      </c>
      <c r="E45" s="1" t="s">
        <v>15</v>
      </c>
      <c r="F45" s="1" t="s">
        <v>272</v>
      </c>
      <c r="G45" s="1" t="s">
        <v>288</v>
      </c>
      <c r="H45" s="1" t="s">
        <v>289</v>
      </c>
      <c r="I45" s="1" t="s">
        <v>290</v>
      </c>
      <c r="J45" s="1" t="s">
        <v>86</v>
      </c>
      <c r="K45" s="5" t="s">
        <v>14</v>
      </c>
      <c r="L45" s="5" t="s">
        <v>87</v>
      </c>
      <c r="M45" s="6"/>
      <c r="N45" s="5" t="s">
        <v>87</v>
      </c>
      <c r="O45" s="5" t="s">
        <v>87</v>
      </c>
      <c r="P45" s="5" t="s">
        <v>87</v>
      </c>
      <c r="Q45" s="5" t="s">
        <v>87</v>
      </c>
    </row>
    <row r="46" ht="42" customHeight="1" spans="1:17">
      <c r="A46" s="1" t="s">
        <v>291</v>
      </c>
      <c r="B46" s="1" t="s">
        <v>37</v>
      </c>
      <c r="C46" s="1" t="s">
        <v>176</v>
      </c>
      <c r="D46" s="1" t="s">
        <v>292</v>
      </c>
      <c r="E46" s="1" t="s">
        <v>11</v>
      </c>
      <c r="F46" s="1" t="s">
        <v>272</v>
      </c>
      <c r="G46" s="1" t="s">
        <v>293</v>
      </c>
      <c r="H46" s="1" t="s">
        <v>294</v>
      </c>
      <c r="I46" s="1" t="s">
        <v>295</v>
      </c>
      <c r="J46" s="1" t="s">
        <v>86</v>
      </c>
      <c r="K46" s="5" t="s">
        <v>14</v>
      </c>
      <c r="L46" s="5" t="s">
        <v>87</v>
      </c>
      <c r="M46" s="6"/>
      <c r="N46" s="5" t="s">
        <v>87</v>
      </c>
      <c r="O46" s="5" t="s">
        <v>87</v>
      </c>
      <c r="P46" s="5" t="s">
        <v>87</v>
      </c>
      <c r="Q46" s="5" t="s">
        <v>87</v>
      </c>
    </row>
    <row r="47" ht="57" customHeight="1" spans="1:17">
      <c r="A47" s="1" t="s">
        <v>296</v>
      </c>
      <c r="B47" s="1" t="s">
        <v>39</v>
      </c>
      <c r="C47" s="1" t="s">
        <v>297</v>
      </c>
      <c r="D47" s="1" t="s">
        <v>298</v>
      </c>
      <c r="E47" s="1" t="s">
        <v>11</v>
      </c>
      <c r="F47" s="1" t="s">
        <v>299</v>
      </c>
      <c r="G47" s="1" t="s">
        <v>300</v>
      </c>
      <c r="H47" s="1" t="s">
        <v>301</v>
      </c>
      <c r="I47" s="1" t="s">
        <v>302</v>
      </c>
      <c r="J47" s="1" t="s">
        <v>86</v>
      </c>
      <c r="K47" s="5" t="s">
        <v>14</v>
      </c>
      <c r="L47" s="5" t="s">
        <v>87</v>
      </c>
      <c r="M47" s="6"/>
      <c r="N47" s="5" t="s">
        <v>87</v>
      </c>
      <c r="O47" s="5" t="s">
        <v>87</v>
      </c>
      <c r="P47" s="5" t="s">
        <v>87</v>
      </c>
      <c r="Q47" s="5" t="s">
        <v>87</v>
      </c>
    </row>
    <row r="48" ht="57" customHeight="1" spans="1:17">
      <c r="A48" s="1" t="s">
        <v>303</v>
      </c>
      <c r="B48" s="1" t="s">
        <v>39</v>
      </c>
      <c r="C48" s="1" t="s">
        <v>297</v>
      </c>
      <c r="D48" s="1" t="s">
        <v>304</v>
      </c>
      <c r="E48" s="1" t="s">
        <v>11</v>
      </c>
      <c r="F48" s="1" t="s">
        <v>299</v>
      </c>
      <c r="G48" s="1" t="s">
        <v>305</v>
      </c>
      <c r="H48" s="1" t="s">
        <v>306</v>
      </c>
      <c r="I48" s="1" t="s">
        <v>307</v>
      </c>
      <c r="J48" s="1" t="s">
        <v>86</v>
      </c>
      <c r="K48" s="5" t="s">
        <v>14</v>
      </c>
      <c r="L48" s="5" t="s">
        <v>87</v>
      </c>
      <c r="M48" s="6"/>
      <c r="N48" s="5" t="s">
        <v>87</v>
      </c>
      <c r="O48" s="5" t="s">
        <v>87</v>
      </c>
      <c r="P48" s="5" t="s">
        <v>87</v>
      </c>
      <c r="Q48" s="5" t="s">
        <v>87</v>
      </c>
    </row>
    <row r="49" ht="57" customHeight="1" spans="1:17">
      <c r="A49" s="1" t="s">
        <v>308</v>
      </c>
      <c r="B49" s="1" t="s">
        <v>39</v>
      </c>
      <c r="C49" s="1" t="s">
        <v>297</v>
      </c>
      <c r="D49" s="1" t="s">
        <v>309</v>
      </c>
      <c r="E49" s="1" t="s">
        <v>11</v>
      </c>
      <c r="F49" s="1" t="s">
        <v>299</v>
      </c>
      <c r="G49" s="1" t="s">
        <v>310</v>
      </c>
      <c r="H49" s="1" t="s">
        <v>311</v>
      </c>
      <c r="I49" s="1" t="s">
        <v>312</v>
      </c>
      <c r="J49" s="1" t="s">
        <v>86</v>
      </c>
      <c r="K49" s="5" t="s">
        <v>14</v>
      </c>
      <c r="L49" s="5" t="s">
        <v>87</v>
      </c>
      <c r="M49" s="6"/>
      <c r="N49" s="5" t="s">
        <v>87</v>
      </c>
      <c r="O49" s="5" t="s">
        <v>87</v>
      </c>
      <c r="P49" s="5" t="s">
        <v>87</v>
      </c>
      <c r="Q49" s="5" t="s">
        <v>87</v>
      </c>
    </row>
    <row r="50" ht="57" customHeight="1" spans="1:17">
      <c r="A50" s="1" t="s">
        <v>313</v>
      </c>
      <c r="B50" s="1" t="s">
        <v>39</v>
      </c>
      <c r="C50" s="1" t="s">
        <v>297</v>
      </c>
      <c r="D50" s="1" t="s">
        <v>314</v>
      </c>
      <c r="E50" s="1" t="s">
        <v>11</v>
      </c>
      <c r="F50" s="1" t="s">
        <v>299</v>
      </c>
      <c r="G50" s="1" t="s">
        <v>315</v>
      </c>
      <c r="H50" s="1" t="s">
        <v>316</v>
      </c>
      <c r="I50" s="1" t="s">
        <v>317</v>
      </c>
      <c r="J50" s="1" t="s">
        <v>86</v>
      </c>
      <c r="K50" s="5" t="s">
        <v>14</v>
      </c>
      <c r="L50" s="5" t="s">
        <v>87</v>
      </c>
      <c r="M50" s="6"/>
      <c r="N50" s="5" t="s">
        <v>87</v>
      </c>
      <c r="O50" s="5" t="s">
        <v>87</v>
      </c>
      <c r="P50" s="5" t="s">
        <v>87</v>
      </c>
      <c r="Q50" s="5" t="s">
        <v>87</v>
      </c>
    </row>
    <row r="51" ht="57" customHeight="1" spans="1:17">
      <c r="A51" s="1" t="s">
        <v>318</v>
      </c>
      <c r="B51" s="1" t="s">
        <v>39</v>
      </c>
      <c r="C51" s="1" t="s">
        <v>297</v>
      </c>
      <c r="D51" s="1" t="s">
        <v>319</v>
      </c>
      <c r="E51" s="1" t="s">
        <v>11</v>
      </c>
      <c r="F51" s="1" t="s">
        <v>299</v>
      </c>
      <c r="G51" s="1" t="s">
        <v>320</v>
      </c>
      <c r="H51" s="1" t="s">
        <v>321</v>
      </c>
      <c r="I51" s="1" t="s">
        <v>322</v>
      </c>
      <c r="J51" s="1" t="s">
        <v>86</v>
      </c>
      <c r="K51" s="5" t="s">
        <v>14</v>
      </c>
      <c r="L51" s="5" t="s">
        <v>87</v>
      </c>
      <c r="M51" s="6"/>
      <c r="N51" s="5" t="s">
        <v>87</v>
      </c>
      <c r="O51" s="5" t="s">
        <v>87</v>
      </c>
      <c r="P51" s="5" t="s">
        <v>87</v>
      </c>
      <c r="Q51" s="5" t="s">
        <v>87</v>
      </c>
    </row>
    <row r="52" ht="72" customHeight="1" spans="1:17">
      <c r="A52" s="1" t="s">
        <v>323</v>
      </c>
      <c r="B52" s="1" t="s">
        <v>41</v>
      </c>
      <c r="C52" s="1" t="s">
        <v>297</v>
      </c>
      <c r="D52" s="1" t="s">
        <v>324</v>
      </c>
      <c r="E52" s="1" t="s">
        <v>11</v>
      </c>
      <c r="F52" s="1" t="s">
        <v>325</v>
      </c>
      <c r="G52" s="1" t="s">
        <v>326</v>
      </c>
      <c r="H52" s="1" t="s">
        <v>327</v>
      </c>
      <c r="I52" s="1" t="s">
        <v>328</v>
      </c>
      <c r="J52" s="1" t="s">
        <v>86</v>
      </c>
      <c r="K52" s="5" t="s">
        <v>14</v>
      </c>
      <c r="L52" s="5" t="s">
        <v>87</v>
      </c>
      <c r="M52" s="6"/>
      <c r="N52" s="5" t="s">
        <v>87</v>
      </c>
      <c r="O52" s="5" t="s">
        <v>87</v>
      </c>
      <c r="P52" s="5" t="s">
        <v>87</v>
      </c>
      <c r="Q52" s="5" t="s">
        <v>87</v>
      </c>
    </row>
    <row r="53" ht="72" customHeight="1" spans="1:17">
      <c r="A53" s="1" t="s">
        <v>329</v>
      </c>
      <c r="B53" s="1" t="s">
        <v>41</v>
      </c>
      <c r="C53" s="1" t="s">
        <v>297</v>
      </c>
      <c r="D53" s="1" t="s">
        <v>330</v>
      </c>
      <c r="E53" s="1" t="s">
        <v>11</v>
      </c>
      <c r="F53" s="1" t="s">
        <v>325</v>
      </c>
      <c r="G53" s="1" t="s">
        <v>331</v>
      </c>
      <c r="H53" s="1" t="s">
        <v>332</v>
      </c>
      <c r="I53" s="1" t="s">
        <v>333</v>
      </c>
      <c r="J53" s="1" t="s">
        <v>86</v>
      </c>
      <c r="K53" s="5" t="s">
        <v>14</v>
      </c>
      <c r="L53" s="5" t="s">
        <v>87</v>
      </c>
      <c r="M53" s="6"/>
      <c r="N53" s="5" t="s">
        <v>87</v>
      </c>
      <c r="O53" s="5" t="s">
        <v>87</v>
      </c>
      <c r="P53" s="5" t="s">
        <v>87</v>
      </c>
      <c r="Q53" s="5" t="s">
        <v>87</v>
      </c>
    </row>
    <row r="54" ht="57" customHeight="1" spans="1:17">
      <c r="A54" s="1" t="s">
        <v>334</v>
      </c>
      <c r="B54" s="1" t="s">
        <v>41</v>
      </c>
      <c r="C54" s="1" t="s">
        <v>297</v>
      </c>
      <c r="D54" s="1" t="s">
        <v>335</v>
      </c>
      <c r="E54" s="1" t="s">
        <v>11</v>
      </c>
      <c r="F54" s="1" t="s">
        <v>325</v>
      </c>
      <c r="G54" s="1" t="s">
        <v>336</v>
      </c>
      <c r="H54" s="1" t="s">
        <v>337</v>
      </c>
      <c r="I54" s="1" t="s">
        <v>338</v>
      </c>
      <c r="J54" s="1" t="s">
        <v>86</v>
      </c>
      <c r="K54" s="5" t="s">
        <v>14</v>
      </c>
      <c r="L54" s="5" t="s">
        <v>87</v>
      </c>
      <c r="M54" s="6"/>
      <c r="N54" s="5" t="s">
        <v>87</v>
      </c>
      <c r="O54" s="5" t="s">
        <v>87</v>
      </c>
      <c r="P54" s="5" t="s">
        <v>87</v>
      </c>
      <c r="Q54" s="5" t="s">
        <v>87</v>
      </c>
    </row>
    <row r="55" ht="57" customHeight="1" spans="1:17">
      <c r="A55" s="1" t="s">
        <v>339</v>
      </c>
      <c r="B55" s="1" t="s">
        <v>41</v>
      </c>
      <c r="C55" s="1" t="s">
        <v>297</v>
      </c>
      <c r="D55" s="1" t="s">
        <v>340</v>
      </c>
      <c r="E55" s="1" t="s">
        <v>11</v>
      </c>
      <c r="F55" s="1" t="s">
        <v>325</v>
      </c>
      <c r="G55" s="1" t="s">
        <v>341</v>
      </c>
      <c r="H55" s="1" t="s">
        <v>342</v>
      </c>
      <c r="I55" s="1" t="s">
        <v>343</v>
      </c>
      <c r="J55" s="1" t="s">
        <v>86</v>
      </c>
      <c r="K55" s="5" t="s">
        <v>14</v>
      </c>
      <c r="L55" s="5" t="s">
        <v>87</v>
      </c>
      <c r="M55" s="6"/>
      <c r="N55" s="5" t="s">
        <v>87</v>
      </c>
      <c r="O55" s="5" t="s">
        <v>87</v>
      </c>
      <c r="P55" s="5" t="s">
        <v>87</v>
      </c>
      <c r="Q55" s="5" t="s">
        <v>87</v>
      </c>
    </row>
    <row r="56" ht="72" customHeight="1" spans="1:17">
      <c r="A56" s="1" t="s">
        <v>344</v>
      </c>
      <c r="B56" s="1" t="s">
        <v>41</v>
      </c>
      <c r="C56" s="1" t="s">
        <v>297</v>
      </c>
      <c r="D56" s="1" t="s">
        <v>345</v>
      </c>
      <c r="E56" s="1" t="s">
        <v>11</v>
      </c>
      <c r="F56" s="1" t="s">
        <v>325</v>
      </c>
      <c r="G56" s="1" t="s">
        <v>346</v>
      </c>
      <c r="H56" s="1" t="s">
        <v>347</v>
      </c>
      <c r="I56" s="1" t="s">
        <v>348</v>
      </c>
      <c r="J56" s="1" t="s">
        <v>86</v>
      </c>
      <c r="K56" s="5" t="s">
        <v>14</v>
      </c>
      <c r="L56" s="5" t="s">
        <v>87</v>
      </c>
      <c r="M56" s="6"/>
      <c r="N56" s="5" t="s">
        <v>87</v>
      </c>
      <c r="O56" s="5" t="s">
        <v>87</v>
      </c>
      <c r="P56" s="5" t="s">
        <v>87</v>
      </c>
      <c r="Q56" s="5" t="s">
        <v>87</v>
      </c>
    </row>
    <row r="57" ht="57" customHeight="1" spans="1:17">
      <c r="A57" s="1" t="s">
        <v>349</v>
      </c>
      <c r="B57" s="1" t="s">
        <v>41</v>
      </c>
      <c r="C57" s="1" t="s">
        <v>297</v>
      </c>
      <c r="D57" s="1" t="s">
        <v>350</v>
      </c>
      <c r="E57" s="1" t="s">
        <v>11</v>
      </c>
      <c r="F57" s="1" t="s">
        <v>325</v>
      </c>
      <c r="G57" s="1" t="s">
        <v>351</v>
      </c>
      <c r="H57" s="1" t="s">
        <v>352</v>
      </c>
      <c r="I57" s="1" t="s">
        <v>353</v>
      </c>
      <c r="J57" s="1" t="s">
        <v>86</v>
      </c>
      <c r="K57" s="5" t="s">
        <v>14</v>
      </c>
      <c r="L57" s="5" t="s">
        <v>87</v>
      </c>
      <c r="M57" s="6"/>
      <c r="N57" s="5" t="s">
        <v>87</v>
      </c>
      <c r="O57" s="5" t="s">
        <v>87</v>
      </c>
      <c r="P57" s="5" t="s">
        <v>87</v>
      </c>
      <c r="Q57" s="5" t="s">
        <v>87</v>
      </c>
    </row>
    <row r="58" ht="57" customHeight="1" spans="1:17">
      <c r="A58" s="1" t="s">
        <v>354</v>
      </c>
      <c r="B58" s="1" t="s">
        <v>41</v>
      </c>
      <c r="C58" s="1" t="s">
        <v>297</v>
      </c>
      <c r="D58" s="1" t="s">
        <v>355</v>
      </c>
      <c r="E58" s="1" t="s">
        <v>11</v>
      </c>
      <c r="F58" s="1" t="s">
        <v>325</v>
      </c>
      <c r="G58" s="1" t="s">
        <v>356</v>
      </c>
      <c r="H58" s="1" t="s">
        <v>357</v>
      </c>
      <c r="I58" s="1" t="s">
        <v>358</v>
      </c>
      <c r="J58" s="1" t="s">
        <v>86</v>
      </c>
      <c r="K58" s="5" t="s">
        <v>14</v>
      </c>
      <c r="L58" s="5" t="s">
        <v>87</v>
      </c>
      <c r="M58" s="6"/>
      <c r="N58" s="5" t="s">
        <v>87</v>
      </c>
      <c r="O58" s="5" t="s">
        <v>87</v>
      </c>
      <c r="P58" s="5" t="s">
        <v>87</v>
      </c>
      <c r="Q58" s="5" t="s">
        <v>87</v>
      </c>
    </row>
    <row r="59" ht="57" customHeight="1" spans="1:17">
      <c r="A59" s="1" t="s">
        <v>359</v>
      </c>
      <c r="B59" s="1" t="s">
        <v>41</v>
      </c>
      <c r="C59" s="1" t="s">
        <v>297</v>
      </c>
      <c r="D59" s="1" t="s">
        <v>360</v>
      </c>
      <c r="E59" s="1" t="s">
        <v>11</v>
      </c>
      <c r="F59" s="1" t="s">
        <v>325</v>
      </c>
      <c r="G59" s="1" t="s">
        <v>361</v>
      </c>
      <c r="H59" s="1" t="s">
        <v>362</v>
      </c>
      <c r="I59" s="1" t="s">
        <v>363</v>
      </c>
      <c r="J59" s="1" t="s">
        <v>86</v>
      </c>
      <c r="K59" s="5" t="s">
        <v>14</v>
      </c>
      <c r="L59" s="5" t="s">
        <v>87</v>
      </c>
      <c r="M59" s="6"/>
      <c r="N59" s="5" t="s">
        <v>87</v>
      </c>
      <c r="O59" s="5" t="s">
        <v>87</v>
      </c>
      <c r="P59" s="5" t="s">
        <v>87</v>
      </c>
      <c r="Q59" s="5" t="s">
        <v>87</v>
      </c>
    </row>
    <row r="60" ht="72" customHeight="1" spans="1:17">
      <c r="A60" s="1" t="s">
        <v>364</v>
      </c>
      <c r="B60" s="1" t="s">
        <v>41</v>
      </c>
      <c r="C60" s="1" t="s">
        <v>365</v>
      </c>
      <c r="D60" s="1" t="s">
        <v>366</v>
      </c>
      <c r="E60" s="1" t="s">
        <v>11</v>
      </c>
      <c r="F60" s="1" t="s">
        <v>367</v>
      </c>
      <c r="G60" s="1" t="s">
        <v>368</v>
      </c>
      <c r="H60" s="1" t="s">
        <v>369</v>
      </c>
      <c r="I60" s="1" t="s">
        <v>370</v>
      </c>
      <c r="J60" s="1" t="s">
        <v>86</v>
      </c>
      <c r="K60" s="5" t="s">
        <v>14</v>
      </c>
      <c r="L60" s="5" t="s">
        <v>87</v>
      </c>
      <c r="M60" s="6"/>
      <c r="N60" s="5" t="s">
        <v>87</v>
      </c>
      <c r="O60" s="5" t="s">
        <v>87</v>
      </c>
      <c r="P60" s="5" t="s">
        <v>87</v>
      </c>
      <c r="Q60" s="5" t="s">
        <v>87</v>
      </c>
    </row>
    <row r="61" ht="57" customHeight="1" spans="1:17">
      <c r="A61" s="1" t="s">
        <v>371</v>
      </c>
      <c r="B61" s="1" t="s">
        <v>41</v>
      </c>
      <c r="C61" s="1" t="s">
        <v>365</v>
      </c>
      <c r="D61" s="1" t="s">
        <v>372</v>
      </c>
      <c r="E61" s="1" t="s">
        <v>11</v>
      </c>
      <c r="F61" s="1" t="s">
        <v>367</v>
      </c>
      <c r="G61" s="1" t="s">
        <v>373</v>
      </c>
      <c r="H61" s="1" t="s">
        <v>374</v>
      </c>
      <c r="I61" s="1" t="s">
        <v>375</v>
      </c>
      <c r="J61" s="1" t="s">
        <v>86</v>
      </c>
      <c r="K61" s="5" t="s">
        <v>14</v>
      </c>
      <c r="L61" s="5" t="s">
        <v>87</v>
      </c>
      <c r="M61" s="6"/>
      <c r="N61" s="5" t="s">
        <v>87</v>
      </c>
      <c r="O61" s="5" t="s">
        <v>87</v>
      </c>
      <c r="P61" s="5" t="s">
        <v>87</v>
      </c>
      <c r="Q61" s="5" t="s">
        <v>87</v>
      </c>
    </row>
    <row r="62" ht="57" customHeight="1" spans="1:17">
      <c r="A62" s="1" t="s">
        <v>376</v>
      </c>
      <c r="B62" s="1" t="s">
        <v>41</v>
      </c>
      <c r="C62" s="1" t="s">
        <v>365</v>
      </c>
      <c r="D62" s="1" t="s">
        <v>377</v>
      </c>
      <c r="E62" s="1" t="s">
        <v>11</v>
      </c>
      <c r="F62" s="1" t="s">
        <v>367</v>
      </c>
      <c r="G62" s="1" t="s">
        <v>378</v>
      </c>
      <c r="H62" s="1" t="s">
        <v>379</v>
      </c>
      <c r="I62" s="1" t="s">
        <v>380</v>
      </c>
      <c r="J62" s="1" t="s">
        <v>86</v>
      </c>
      <c r="K62" s="5" t="s">
        <v>14</v>
      </c>
      <c r="L62" s="5" t="s">
        <v>87</v>
      </c>
      <c r="M62" s="6"/>
      <c r="N62" s="5" t="s">
        <v>87</v>
      </c>
      <c r="O62" s="5" t="s">
        <v>87</v>
      </c>
      <c r="P62" s="5" t="s">
        <v>87</v>
      </c>
      <c r="Q62" s="5" t="s">
        <v>87</v>
      </c>
    </row>
    <row r="63" ht="57" customHeight="1" spans="1:17">
      <c r="A63" s="1" t="s">
        <v>381</v>
      </c>
      <c r="B63" s="1" t="s">
        <v>43</v>
      </c>
      <c r="C63" s="1" t="s">
        <v>297</v>
      </c>
      <c r="D63" s="1" t="s">
        <v>382</v>
      </c>
      <c r="E63" s="1" t="s">
        <v>11</v>
      </c>
      <c r="F63" s="1" t="s">
        <v>383</v>
      </c>
      <c r="G63" s="1" t="s">
        <v>384</v>
      </c>
      <c r="H63" s="1" t="s">
        <v>385</v>
      </c>
      <c r="I63" s="1" t="s">
        <v>386</v>
      </c>
      <c r="J63" s="1" t="s">
        <v>86</v>
      </c>
      <c r="K63" s="5" t="s">
        <v>14</v>
      </c>
      <c r="L63" s="5" t="s">
        <v>87</v>
      </c>
      <c r="M63" s="6"/>
      <c r="N63" s="5" t="s">
        <v>87</v>
      </c>
      <c r="O63" s="5" t="s">
        <v>87</v>
      </c>
      <c r="P63" s="5" t="s">
        <v>87</v>
      </c>
      <c r="Q63" s="5" t="s">
        <v>87</v>
      </c>
    </row>
    <row r="64" ht="57" customHeight="1" spans="1:17">
      <c r="A64" s="1" t="s">
        <v>387</v>
      </c>
      <c r="B64" s="1" t="s">
        <v>43</v>
      </c>
      <c r="C64" s="1" t="s">
        <v>297</v>
      </c>
      <c r="D64" s="1" t="s">
        <v>388</v>
      </c>
      <c r="E64" s="1" t="s">
        <v>11</v>
      </c>
      <c r="F64" s="1" t="s">
        <v>383</v>
      </c>
      <c r="G64" s="1" t="s">
        <v>389</v>
      </c>
      <c r="H64" s="1" t="s">
        <v>390</v>
      </c>
      <c r="I64" s="1" t="s">
        <v>391</v>
      </c>
      <c r="J64" s="1" t="s">
        <v>392</v>
      </c>
      <c r="K64" s="5" t="s">
        <v>14</v>
      </c>
      <c r="L64" s="5" t="s">
        <v>87</v>
      </c>
      <c r="M64" s="6"/>
      <c r="N64" s="5" t="s">
        <v>87</v>
      </c>
      <c r="O64" s="5" t="s">
        <v>87</v>
      </c>
      <c r="P64" s="5" t="s">
        <v>87</v>
      </c>
      <c r="Q64" s="5" t="s">
        <v>87</v>
      </c>
    </row>
    <row r="65" ht="57" customHeight="1" spans="1:17">
      <c r="A65" s="1" t="s">
        <v>393</v>
      </c>
      <c r="B65" s="1" t="s">
        <v>43</v>
      </c>
      <c r="C65" s="1" t="s">
        <v>297</v>
      </c>
      <c r="D65" s="1" t="s">
        <v>394</v>
      </c>
      <c r="E65" s="1" t="s">
        <v>11</v>
      </c>
      <c r="F65" s="1" t="s">
        <v>383</v>
      </c>
      <c r="G65" s="1" t="s">
        <v>395</v>
      </c>
      <c r="H65" s="1" t="s">
        <v>396</v>
      </c>
      <c r="I65" s="1" t="s">
        <v>397</v>
      </c>
      <c r="J65" s="1" t="s">
        <v>86</v>
      </c>
      <c r="K65" s="5" t="s">
        <v>14</v>
      </c>
      <c r="L65" s="5" t="s">
        <v>87</v>
      </c>
      <c r="M65" s="6"/>
      <c r="N65" s="5" t="s">
        <v>87</v>
      </c>
      <c r="O65" s="5" t="s">
        <v>87</v>
      </c>
      <c r="P65" s="5" t="s">
        <v>87</v>
      </c>
      <c r="Q65" s="5" t="s">
        <v>87</v>
      </c>
    </row>
    <row r="66" ht="42" customHeight="1" spans="1:17">
      <c r="A66" s="1" t="s">
        <v>398</v>
      </c>
      <c r="B66" s="1" t="s">
        <v>43</v>
      </c>
      <c r="C66" s="1" t="s">
        <v>297</v>
      </c>
      <c r="D66" s="1" t="s">
        <v>399</v>
      </c>
      <c r="E66" s="1" t="s">
        <v>11</v>
      </c>
      <c r="F66" s="1" t="s">
        <v>383</v>
      </c>
      <c r="G66" s="1" t="s">
        <v>400</v>
      </c>
      <c r="H66" s="1" t="s">
        <v>401</v>
      </c>
      <c r="I66" s="1" t="s">
        <v>402</v>
      </c>
      <c r="J66" s="1" t="s">
        <v>86</v>
      </c>
      <c r="K66" s="5" t="s">
        <v>14</v>
      </c>
      <c r="L66" s="5" t="s">
        <v>87</v>
      </c>
      <c r="M66" s="6"/>
      <c r="N66" s="5" t="s">
        <v>87</v>
      </c>
      <c r="O66" s="5" t="s">
        <v>87</v>
      </c>
      <c r="P66" s="5" t="s">
        <v>87</v>
      </c>
      <c r="Q66" s="5" t="s">
        <v>87</v>
      </c>
    </row>
    <row r="67" ht="57" customHeight="1" spans="1:17">
      <c r="A67" s="1" t="s">
        <v>403</v>
      </c>
      <c r="B67" s="1" t="s">
        <v>43</v>
      </c>
      <c r="C67" s="1" t="s">
        <v>297</v>
      </c>
      <c r="D67" s="1" t="s">
        <v>404</v>
      </c>
      <c r="E67" s="1" t="s">
        <v>11</v>
      </c>
      <c r="F67" s="1" t="s">
        <v>383</v>
      </c>
      <c r="G67" s="1" t="s">
        <v>405</v>
      </c>
      <c r="H67" s="1" t="s">
        <v>406</v>
      </c>
      <c r="I67" s="1" t="s">
        <v>407</v>
      </c>
      <c r="J67" s="1" t="s">
        <v>86</v>
      </c>
      <c r="K67" s="5" t="s">
        <v>14</v>
      </c>
      <c r="L67" s="5" t="s">
        <v>87</v>
      </c>
      <c r="M67" s="6"/>
      <c r="N67" s="5" t="s">
        <v>87</v>
      </c>
      <c r="O67" s="5" t="s">
        <v>87</v>
      </c>
      <c r="P67" s="5" t="s">
        <v>87</v>
      </c>
      <c r="Q67" s="5" t="s">
        <v>87</v>
      </c>
    </row>
    <row r="68" ht="57" customHeight="1" spans="1:17">
      <c r="A68" s="1" t="s">
        <v>408</v>
      </c>
      <c r="B68" s="1" t="s">
        <v>45</v>
      </c>
      <c r="C68" s="1" t="s">
        <v>409</v>
      </c>
      <c r="D68" s="1" t="s">
        <v>410</v>
      </c>
      <c r="E68" s="1" t="s">
        <v>11</v>
      </c>
      <c r="F68" s="1" t="s">
        <v>411</v>
      </c>
      <c r="G68" s="1" t="s">
        <v>412</v>
      </c>
      <c r="H68" s="1" t="s">
        <v>413</v>
      </c>
      <c r="I68" s="1" t="s">
        <v>414</v>
      </c>
      <c r="J68" s="1" t="s">
        <v>86</v>
      </c>
      <c r="K68" s="5" t="s">
        <v>14</v>
      </c>
      <c r="L68" s="5" t="s">
        <v>87</v>
      </c>
      <c r="M68" s="6"/>
      <c r="N68" s="5" t="s">
        <v>87</v>
      </c>
      <c r="O68" s="5" t="s">
        <v>87</v>
      </c>
      <c r="P68" s="5" t="s">
        <v>87</v>
      </c>
      <c r="Q68" s="5" t="s">
        <v>87</v>
      </c>
    </row>
    <row r="69" ht="42" customHeight="1" spans="1:17">
      <c r="A69" s="1" t="s">
        <v>415</v>
      </c>
      <c r="B69" s="1" t="s">
        <v>45</v>
      </c>
      <c r="C69" s="1" t="s">
        <v>409</v>
      </c>
      <c r="D69" s="1" t="s">
        <v>416</v>
      </c>
      <c r="E69" s="1" t="s">
        <v>11</v>
      </c>
      <c r="F69" s="1" t="s">
        <v>411</v>
      </c>
      <c r="G69" s="1" t="s">
        <v>417</v>
      </c>
      <c r="H69" s="1" t="s">
        <v>418</v>
      </c>
      <c r="I69" s="1" t="s">
        <v>419</v>
      </c>
      <c r="J69" s="1" t="s">
        <v>86</v>
      </c>
      <c r="K69" s="5" t="s">
        <v>14</v>
      </c>
      <c r="L69" s="5" t="s">
        <v>87</v>
      </c>
      <c r="M69" s="6"/>
      <c r="N69" s="5" t="s">
        <v>87</v>
      </c>
      <c r="O69" s="5" t="s">
        <v>87</v>
      </c>
      <c r="P69" s="5" t="s">
        <v>87</v>
      </c>
      <c r="Q69" s="5" t="s">
        <v>87</v>
      </c>
    </row>
    <row r="70" ht="57" customHeight="1" spans="1:17">
      <c r="A70" s="1" t="s">
        <v>420</v>
      </c>
      <c r="B70" s="1" t="s">
        <v>45</v>
      </c>
      <c r="C70" s="1" t="s">
        <v>409</v>
      </c>
      <c r="D70" s="1" t="s">
        <v>421</v>
      </c>
      <c r="E70" s="1" t="s">
        <v>11</v>
      </c>
      <c r="F70" s="1" t="s">
        <v>411</v>
      </c>
      <c r="G70" s="1" t="s">
        <v>422</v>
      </c>
      <c r="H70" s="1" t="s">
        <v>423</v>
      </c>
      <c r="I70" s="1" t="s">
        <v>424</v>
      </c>
      <c r="J70" s="1" t="s">
        <v>86</v>
      </c>
      <c r="K70" s="5" t="s">
        <v>14</v>
      </c>
      <c r="L70" s="5" t="s">
        <v>87</v>
      </c>
      <c r="M70" s="6"/>
      <c r="N70" s="5" t="s">
        <v>87</v>
      </c>
      <c r="O70" s="5" t="s">
        <v>87</v>
      </c>
      <c r="P70" s="5" t="s">
        <v>87</v>
      </c>
      <c r="Q70" s="5" t="s">
        <v>87</v>
      </c>
    </row>
    <row r="71" ht="57" customHeight="1" spans="1:17">
      <c r="A71" s="1" t="s">
        <v>425</v>
      </c>
      <c r="B71" s="1" t="s">
        <v>45</v>
      </c>
      <c r="C71" s="1" t="s">
        <v>409</v>
      </c>
      <c r="D71" s="1" t="s">
        <v>426</v>
      </c>
      <c r="E71" s="1" t="s">
        <v>11</v>
      </c>
      <c r="F71" s="1" t="s">
        <v>411</v>
      </c>
      <c r="G71" s="1" t="s">
        <v>427</v>
      </c>
      <c r="H71" s="1" t="s">
        <v>428</v>
      </c>
      <c r="I71" s="1" t="s">
        <v>424</v>
      </c>
      <c r="J71" s="1" t="s">
        <v>86</v>
      </c>
      <c r="K71" s="5" t="s">
        <v>14</v>
      </c>
      <c r="L71" s="5" t="s">
        <v>87</v>
      </c>
      <c r="M71" s="6"/>
      <c r="N71" s="5" t="s">
        <v>87</v>
      </c>
      <c r="O71" s="5" t="s">
        <v>87</v>
      </c>
      <c r="P71" s="5" t="s">
        <v>87</v>
      </c>
      <c r="Q71" s="5" t="s">
        <v>87</v>
      </c>
    </row>
    <row r="72" ht="57" customHeight="1" spans="1:17">
      <c r="A72" s="1" t="s">
        <v>429</v>
      </c>
      <c r="B72" s="1" t="s">
        <v>45</v>
      </c>
      <c r="C72" s="1" t="s">
        <v>409</v>
      </c>
      <c r="D72" s="1" t="s">
        <v>430</v>
      </c>
      <c r="E72" s="1" t="s">
        <v>11</v>
      </c>
      <c r="F72" s="1" t="s">
        <v>411</v>
      </c>
      <c r="G72" s="1" t="s">
        <v>431</v>
      </c>
      <c r="H72" s="1" t="s">
        <v>432</v>
      </c>
      <c r="I72" s="1" t="s">
        <v>424</v>
      </c>
      <c r="J72" s="1" t="s">
        <v>86</v>
      </c>
      <c r="K72" s="5" t="s">
        <v>14</v>
      </c>
      <c r="L72" s="5" t="s">
        <v>87</v>
      </c>
      <c r="M72" s="6"/>
      <c r="N72" s="5" t="s">
        <v>87</v>
      </c>
      <c r="O72" s="5" t="s">
        <v>87</v>
      </c>
      <c r="P72" s="5" t="s">
        <v>87</v>
      </c>
      <c r="Q72" s="5" t="s">
        <v>87</v>
      </c>
    </row>
    <row r="73" ht="57" customHeight="1" spans="1:17">
      <c r="A73" s="1" t="s">
        <v>433</v>
      </c>
      <c r="B73" s="1" t="s">
        <v>45</v>
      </c>
      <c r="C73" s="1" t="s">
        <v>409</v>
      </c>
      <c r="D73" s="1" t="s">
        <v>434</v>
      </c>
      <c r="E73" s="1" t="s">
        <v>11</v>
      </c>
      <c r="F73" s="1" t="s">
        <v>411</v>
      </c>
      <c r="G73" s="1" t="s">
        <v>435</v>
      </c>
      <c r="H73" s="1" t="s">
        <v>436</v>
      </c>
      <c r="I73" s="1" t="s">
        <v>424</v>
      </c>
      <c r="J73" s="1" t="s">
        <v>86</v>
      </c>
      <c r="K73" s="5" t="s">
        <v>14</v>
      </c>
      <c r="L73" s="5" t="s">
        <v>87</v>
      </c>
      <c r="M73" s="6"/>
      <c r="N73" s="5" t="s">
        <v>87</v>
      </c>
      <c r="O73" s="5" t="s">
        <v>87</v>
      </c>
      <c r="P73" s="5" t="s">
        <v>87</v>
      </c>
      <c r="Q73" s="5" t="s">
        <v>87</v>
      </c>
    </row>
    <row r="74" ht="57" customHeight="1" spans="1:17">
      <c r="A74" s="1" t="s">
        <v>437</v>
      </c>
      <c r="B74" s="1" t="s">
        <v>45</v>
      </c>
      <c r="C74" s="1" t="s">
        <v>409</v>
      </c>
      <c r="D74" s="1" t="s">
        <v>438</v>
      </c>
      <c r="E74" s="1" t="s">
        <v>11</v>
      </c>
      <c r="F74" s="1" t="s">
        <v>411</v>
      </c>
      <c r="G74" s="1" t="s">
        <v>439</v>
      </c>
      <c r="H74" s="1" t="s">
        <v>440</v>
      </c>
      <c r="I74" s="1" t="s">
        <v>424</v>
      </c>
      <c r="J74" s="1" t="s">
        <v>86</v>
      </c>
      <c r="K74" s="5" t="s">
        <v>14</v>
      </c>
      <c r="L74" s="5" t="s">
        <v>87</v>
      </c>
      <c r="M74" s="6"/>
      <c r="N74" s="5" t="s">
        <v>87</v>
      </c>
      <c r="O74" s="5" t="s">
        <v>87</v>
      </c>
      <c r="P74" s="5" t="s">
        <v>87</v>
      </c>
      <c r="Q74" s="5" t="s">
        <v>87</v>
      </c>
    </row>
    <row r="75" ht="57" customHeight="1" spans="1:17">
      <c r="A75" s="1" t="s">
        <v>441</v>
      </c>
      <c r="B75" s="1" t="s">
        <v>45</v>
      </c>
      <c r="C75" s="1" t="s">
        <v>409</v>
      </c>
      <c r="D75" s="1" t="s">
        <v>442</v>
      </c>
      <c r="E75" s="1" t="s">
        <v>11</v>
      </c>
      <c r="F75" s="1" t="s">
        <v>411</v>
      </c>
      <c r="G75" s="1" t="s">
        <v>443</v>
      </c>
      <c r="H75" s="1" t="s">
        <v>444</v>
      </c>
      <c r="I75" s="1" t="s">
        <v>424</v>
      </c>
      <c r="J75" s="1" t="s">
        <v>86</v>
      </c>
      <c r="K75" s="5" t="s">
        <v>14</v>
      </c>
      <c r="L75" s="5" t="s">
        <v>87</v>
      </c>
      <c r="M75" s="6"/>
      <c r="N75" s="5" t="s">
        <v>87</v>
      </c>
      <c r="O75" s="5" t="s">
        <v>87</v>
      </c>
      <c r="P75" s="5" t="s">
        <v>87</v>
      </c>
      <c r="Q75" s="5" t="s">
        <v>87</v>
      </c>
    </row>
    <row r="76" ht="57" customHeight="1" spans="1:17">
      <c r="A76" s="1" t="s">
        <v>445</v>
      </c>
      <c r="B76" s="1" t="s">
        <v>45</v>
      </c>
      <c r="C76" s="1" t="s">
        <v>409</v>
      </c>
      <c r="D76" s="1" t="s">
        <v>446</v>
      </c>
      <c r="E76" s="1" t="s">
        <v>11</v>
      </c>
      <c r="F76" s="1" t="s">
        <v>411</v>
      </c>
      <c r="G76" s="1" t="s">
        <v>447</v>
      </c>
      <c r="H76" s="1" t="s">
        <v>448</v>
      </c>
      <c r="I76" s="1" t="s">
        <v>424</v>
      </c>
      <c r="J76" s="1" t="s">
        <v>86</v>
      </c>
      <c r="K76" s="5" t="s">
        <v>14</v>
      </c>
      <c r="L76" s="5" t="s">
        <v>87</v>
      </c>
      <c r="M76" s="6"/>
      <c r="N76" s="5" t="s">
        <v>87</v>
      </c>
      <c r="O76" s="5" t="s">
        <v>87</v>
      </c>
      <c r="P76" s="5" t="s">
        <v>87</v>
      </c>
      <c r="Q76" s="5" t="s">
        <v>87</v>
      </c>
    </row>
    <row r="77" ht="42" customHeight="1" spans="1:17">
      <c r="A77" s="1" t="s">
        <v>449</v>
      </c>
      <c r="B77" s="1" t="s">
        <v>45</v>
      </c>
      <c r="C77" s="1" t="s">
        <v>409</v>
      </c>
      <c r="D77" s="1" t="s">
        <v>450</v>
      </c>
      <c r="E77" s="1" t="s">
        <v>11</v>
      </c>
      <c r="F77" s="1" t="s">
        <v>411</v>
      </c>
      <c r="G77" s="1" t="s">
        <v>451</v>
      </c>
      <c r="H77" s="1" t="s">
        <v>452</v>
      </c>
      <c r="I77" s="1" t="s">
        <v>453</v>
      </c>
      <c r="J77" s="1" t="s">
        <v>86</v>
      </c>
      <c r="K77" s="5" t="s">
        <v>14</v>
      </c>
      <c r="L77" s="5" t="s">
        <v>87</v>
      </c>
      <c r="M77" s="6"/>
      <c r="N77" s="5" t="s">
        <v>87</v>
      </c>
      <c r="O77" s="5" t="s">
        <v>87</v>
      </c>
      <c r="P77" s="5" t="s">
        <v>87</v>
      </c>
      <c r="Q77" s="5" t="s">
        <v>87</v>
      </c>
    </row>
    <row r="78" ht="57" customHeight="1" spans="1:17">
      <c r="A78" s="1" t="s">
        <v>454</v>
      </c>
      <c r="B78" s="1" t="s">
        <v>47</v>
      </c>
      <c r="C78" s="1" t="s">
        <v>409</v>
      </c>
      <c r="D78" s="1" t="s">
        <v>455</v>
      </c>
      <c r="E78" s="1" t="s">
        <v>11</v>
      </c>
      <c r="F78" s="1" t="s">
        <v>456</v>
      </c>
      <c r="G78" s="1" t="s">
        <v>457</v>
      </c>
      <c r="H78" s="1" t="s">
        <v>458</v>
      </c>
      <c r="I78" s="1" t="s">
        <v>459</v>
      </c>
      <c r="J78" s="1" t="s">
        <v>460</v>
      </c>
      <c r="K78" s="5" t="s">
        <v>14</v>
      </c>
      <c r="L78" s="5" t="s">
        <v>87</v>
      </c>
      <c r="M78" s="6"/>
      <c r="N78" s="5" t="s">
        <v>87</v>
      </c>
      <c r="O78" s="5" t="s">
        <v>87</v>
      </c>
      <c r="P78" s="5" t="s">
        <v>87</v>
      </c>
      <c r="Q78" s="5" t="s">
        <v>87</v>
      </c>
    </row>
    <row r="79" ht="57" customHeight="1" spans="1:17">
      <c r="A79" s="1" t="s">
        <v>461</v>
      </c>
      <c r="B79" s="1" t="s">
        <v>47</v>
      </c>
      <c r="C79" s="1" t="s">
        <v>409</v>
      </c>
      <c r="D79" s="1" t="s">
        <v>462</v>
      </c>
      <c r="E79" s="1" t="s">
        <v>11</v>
      </c>
      <c r="F79" s="1" t="s">
        <v>456</v>
      </c>
      <c r="G79" s="1" t="s">
        <v>463</v>
      </c>
      <c r="H79" s="1" t="s">
        <v>464</v>
      </c>
      <c r="I79" s="1" t="s">
        <v>465</v>
      </c>
      <c r="J79" s="1" t="s">
        <v>466</v>
      </c>
      <c r="K79" s="5" t="s">
        <v>14</v>
      </c>
      <c r="L79" s="5" t="s">
        <v>87</v>
      </c>
      <c r="M79" s="6"/>
      <c r="N79" s="5" t="s">
        <v>87</v>
      </c>
      <c r="O79" s="5" t="s">
        <v>87</v>
      </c>
      <c r="P79" s="5" t="s">
        <v>87</v>
      </c>
      <c r="Q79" s="5" t="s">
        <v>87</v>
      </c>
    </row>
    <row r="80" ht="57" customHeight="1" spans="1:17">
      <c r="A80" s="1" t="s">
        <v>467</v>
      </c>
      <c r="B80" s="1" t="s">
        <v>47</v>
      </c>
      <c r="C80" s="1" t="s">
        <v>409</v>
      </c>
      <c r="D80" s="1" t="s">
        <v>468</v>
      </c>
      <c r="E80" s="1" t="s">
        <v>11</v>
      </c>
      <c r="F80" s="1" t="s">
        <v>456</v>
      </c>
      <c r="G80" s="1" t="s">
        <v>469</v>
      </c>
      <c r="H80" s="1" t="s">
        <v>470</v>
      </c>
      <c r="I80" s="1" t="s">
        <v>471</v>
      </c>
      <c r="J80" s="1" t="s">
        <v>86</v>
      </c>
      <c r="K80" s="5" t="s">
        <v>14</v>
      </c>
      <c r="L80" s="5" t="s">
        <v>87</v>
      </c>
      <c r="M80" s="6"/>
      <c r="N80" s="5" t="s">
        <v>87</v>
      </c>
      <c r="O80" s="5" t="s">
        <v>87</v>
      </c>
      <c r="P80" s="5" t="s">
        <v>87</v>
      </c>
      <c r="Q80" s="5" t="s">
        <v>87</v>
      </c>
    </row>
    <row r="81" ht="57" customHeight="1" spans="1:17">
      <c r="A81" s="1" t="s">
        <v>472</v>
      </c>
      <c r="B81" s="1" t="s">
        <v>49</v>
      </c>
      <c r="C81" s="1" t="s">
        <v>409</v>
      </c>
      <c r="D81" s="1" t="s">
        <v>473</v>
      </c>
      <c r="E81" s="1" t="s">
        <v>15</v>
      </c>
      <c r="F81" s="1" t="s">
        <v>474</v>
      </c>
      <c r="G81" s="1" t="s">
        <v>475</v>
      </c>
      <c r="H81" s="1" t="s">
        <v>476</v>
      </c>
      <c r="I81" s="1" t="s">
        <v>477</v>
      </c>
      <c r="J81" s="1" t="s">
        <v>86</v>
      </c>
      <c r="K81" s="5" t="s">
        <v>14</v>
      </c>
      <c r="L81" s="5" t="s">
        <v>87</v>
      </c>
      <c r="M81" s="6"/>
      <c r="N81" s="5" t="s">
        <v>87</v>
      </c>
      <c r="O81" s="5" t="s">
        <v>87</v>
      </c>
      <c r="P81" s="5" t="s">
        <v>87</v>
      </c>
      <c r="Q81" s="5" t="s">
        <v>87</v>
      </c>
    </row>
    <row r="82" ht="57" customHeight="1" spans="1:17">
      <c r="A82" s="1" t="s">
        <v>478</v>
      </c>
      <c r="B82" s="1" t="s">
        <v>49</v>
      </c>
      <c r="C82" s="1" t="s">
        <v>409</v>
      </c>
      <c r="D82" s="1" t="s">
        <v>479</v>
      </c>
      <c r="E82" s="1" t="s">
        <v>15</v>
      </c>
      <c r="F82" s="1" t="s">
        <v>474</v>
      </c>
      <c r="G82" s="1" t="s">
        <v>480</v>
      </c>
      <c r="H82" s="1" t="s">
        <v>481</v>
      </c>
      <c r="I82" s="1" t="s">
        <v>482</v>
      </c>
      <c r="J82" s="1" t="s">
        <v>86</v>
      </c>
      <c r="K82" s="5" t="s">
        <v>14</v>
      </c>
      <c r="L82" s="5" t="s">
        <v>87</v>
      </c>
      <c r="M82" s="6"/>
      <c r="N82" s="5" t="s">
        <v>87</v>
      </c>
      <c r="O82" s="5" t="s">
        <v>87</v>
      </c>
      <c r="P82" s="5" t="s">
        <v>87</v>
      </c>
      <c r="Q82" s="5" t="s">
        <v>87</v>
      </c>
    </row>
    <row r="83" ht="72" customHeight="1" spans="1:17">
      <c r="A83" s="1" t="s">
        <v>483</v>
      </c>
      <c r="B83" s="1" t="s">
        <v>49</v>
      </c>
      <c r="C83" s="1" t="s">
        <v>409</v>
      </c>
      <c r="D83" s="1" t="s">
        <v>484</v>
      </c>
      <c r="E83" s="1" t="s">
        <v>15</v>
      </c>
      <c r="F83" s="1" t="s">
        <v>474</v>
      </c>
      <c r="G83" s="1" t="s">
        <v>485</v>
      </c>
      <c r="H83" s="1" t="s">
        <v>486</v>
      </c>
      <c r="I83" s="1" t="s">
        <v>487</v>
      </c>
      <c r="J83" s="1" t="s">
        <v>86</v>
      </c>
      <c r="K83" s="5" t="s">
        <v>14</v>
      </c>
      <c r="L83" s="5" t="s">
        <v>87</v>
      </c>
      <c r="M83" s="6"/>
      <c r="N83" s="5" t="s">
        <v>87</v>
      </c>
      <c r="O83" s="5" t="s">
        <v>87</v>
      </c>
      <c r="P83" s="5" t="s">
        <v>87</v>
      </c>
      <c r="Q83" s="5" t="s">
        <v>87</v>
      </c>
    </row>
    <row r="84" ht="57" customHeight="1" spans="1:17">
      <c r="A84" s="1" t="s">
        <v>488</v>
      </c>
      <c r="B84" s="1" t="s">
        <v>49</v>
      </c>
      <c r="C84" s="1" t="s">
        <v>409</v>
      </c>
      <c r="D84" s="1" t="s">
        <v>489</v>
      </c>
      <c r="E84" s="1" t="s">
        <v>11</v>
      </c>
      <c r="F84" s="1" t="s">
        <v>474</v>
      </c>
      <c r="G84" s="1" t="s">
        <v>490</v>
      </c>
      <c r="H84" s="1" t="s">
        <v>491</v>
      </c>
      <c r="I84" s="1" t="s">
        <v>492</v>
      </c>
      <c r="J84" s="1" t="s">
        <v>86</v>
      </c>
      <c r="K84" s="5" t="s">
        <v>14</v>
      </c>
      <c r="L84" s="5" t="s">
        <v>87</v>
      </c>
      <c r="M84" s="6"/>
      <c r="N84" s="5" t="s">
        <v>87</v>
      </c>
      <c r="O84" s="5" t="s">
        <v>87</v>
      </c>
      <c r="P84" s="5" t="s">
        <v>87</v>
      </c>
      <c r="Q84" s="5" t="s">
        <v>87</v>
      </c>
    </row>
    <row r="85" ht="57" customHeight="1" spans="1:17">
      <c r="A85" s="1" t="s">
        <v>493</v>
      </c>
      <c r="B85" s="1" t="s">
        <v>51</v>
      </c>
      <c r="C85" s="1" t="s">
        <v>494</v>
      </c>
      <c r="D85" s="1" t="s">
        <v>495</v>
      </c>
      <c r="E85" s="1" t="s">
        <v>11</v>
      </c>
      <c r="F85" s="1" t="s">
        <v>496</v>
      </c>
      <c r="G85" s="1" t="s">
        <v>497</v>
      </c>
      <c r="H85" s="1" t="s">
        <v>498</v>
      </c>
      <c r="I85" s="1" t="s">
        <v>499</v>
      </c>
      <c r="J85" s="1" t="s">
        <v>86</v>
      </c>
      <c r="K85" s="5" t="s">
        <v>14</v>
      </c>
      <c r="L85" s="5" t="s">
        <v>87</v>
      </c>
      <c r="M85" s="6"/>
      <c r="N85" s="5" t="s">
        <v>87</v>
      </c>
      <c r="O85" s="5" t="s">
        <v>87</v>
      </c>
      <c r="P85" s="5" t="s">
        <v>87</v>
      </c>
      <c r="Q85" s="5" t="s">
        <v>87</v>
      </c>
    </row>
    <row r="86" ht="57" customHeight="1" spans="1:17">
      <c r="A86" s="1" t="s">
        <v>500</v>
      </c>
      <c r="B86" s="1" t="s">
        <v>51</v>
      </c>
      <c r="C86" s="1" t="s">
        <v>494</v>
      </c>
      <c r="D86" s="1" t="s">
        <v>501</v>
      </c>
      <c r="E86" s="1" t="s">
        <v>11</v>
      </c>
      <c r="F86" s="1" t="s">
        <v>496</v>
      </c>
      <c r="G86" s="1" t="s">
        <v>502</v>
      </c>
      <c r="H86" s="1" t="s">
        <v>503</v>
      </c>
      <c r="I86" s="1" t="s">
        <v>504</v>
      </c>
      <c r="J86" s="1" t="s">
        <v>86</v>
      </c>
      <c r="K86" s="5" t="s">
        <v>14</v>
      </c>
      <c r="L86" s="5" t="s">
        <v>87</v>
      </c>
      <c r="M86" s="6"/>
      <c r="N86" s="5" t="s">
        <v>87</v>
      </c>
      <c r="O86" s="5" t="s">
        <v>87</v>
      </c>
      <c r="P86" s="5" t="s">
        <v>87</v>
      </c>
      <c r="Q86" s="5" t="s">
        <v>87</v>
      </c>
    </row>
    <row r="87" ht="57" customHeight="1" spans="1:17">
      <c r="A87" s="1" t="s">
        <v>505</v>
      </c>
      <c r="B87" s="1" t="s">
        <v>51</v>
      </c>
      <c r="C87" s="1" t="s">
        <v>494</v>
      </c>
      <c r="D87" s="1" t="s">
        <v>506</v>
      </c>
      <c r="E87" s="1" t="s">
        <v>15</v>
      </c>
      <c r="F87" s="1" t="s">
        <v>496</v>
      </c>
      <c r="G87" s="1" t="s">
        <v>507</v>
      </c>
      <c r="H87" s="1" t="s">
        <v>508</v>
      </c>
      <c r="I87" s="1" t="s">
        <v>509</v>
      </c>
      <c r="J87" s="1" t="s">
        <v>86</v>
      </c>
      <c r="K87" s="5" t="s">
        <v>14</v>
      </c>
      <c r="L87" s="5" t="s">
        <v>87</v>
      </c>
      <c r="M87" s="6"/>
      <c r="N87" s="5" t="s">
        <v>87</v>
      </c>
      <c r="O87" s="5" t="s">
        <v>87</v>
      </c>
      <c r="P87" s="5" t="s">
        <v>87</v>
      </c>
      <c r="Q87" s="5" t="s">
        <v>87</v>
      </c>
    </row>
    <row r="88" ht="72" customHeight="1" spans="1:17">
      <c r="A88" s="1" t="s">
        <v>510</v>
      </c>
      <c r="B88" s="1" t="s">
        <v>53</v>
      </c>
      <c r="C88" s="1" t="s">
        <v>409</v>
      </c>
      <c r="D88" s="1" t="s">
        <v>511</v>
      </c>
      <c r="E88" s="1" t="s">
        <v>11</v>
      </c>
      <c r="F88" s="1" t="s">
        <v>512</v>
      </c>
      <c r="G88" s="1" t="s">
        <v>513</v>
      </c>
      <c r="H88" s="1" t="s">
        <v>514</v>
      </c>
      <c r="I88" s="1" t="s">
        <v>515</v>
      </c>
      <c r="J88" s="1" t="s">
        <v>86</v>
      </c>
      <c r="K88" s="5" t="s">
        <v>14</v>
      </c>
      <c r="L88" s="5" t="s">
        <v>87</v>
      </c>
      <c r="M88" s="6"/>
      <c r="N88" s="5" t="s">
        <v>87</v>
      </c>
      <c r="O88" s="5" t="s">
        <v>87</v>
      </c>
      <c r="P88" s="5" t="s">
        <v>87</v>
      </c>
      <c r="Q88" s="5" t="s">
        <v>87</v>
      </c>
    </row>
    <row r="89" ht="42" customHeight="1" spans="1:17">
      <c r="A89" s="1" t="s">
        <v>516</v>
      </c>
      <c r="B89" s="1" t="s">
        <v>53</v>
      </c>
      <c r="C89" s="1" t="s">
        <v>409</v>
      </c>
      <c r="D89" s="1" t="s">
        <v>517</v>
      </c>
      <c r="E89" s="1" t="s">
        <v>15</v>
      </c>
      <c r="F89" s="1" t="s">
        <v>512</v>
      </c>
      <c r="G89" s="1" t="s">
        <v>518</v>
      </c>
      <c r="H89" s="1" t="s">
        <v>519</v>
      </c>
      <c r="I89" s="1" t="s">
        <v>520</v>
      </c>
      <c r="J89" s="1" t="s">
        <v>86</v>
      </c>
      <c r="K89" s="5" t="s">
        <v>14</v>
      </c>
      <c r="L89" s="5" t="s">
        <v>87</v>
      </c>
      <c r="M89" s="6"/>
      <c r="N89" s="5" t="s">
        <v>87</v>
      </c>
      <c r="O89" s="5" t="s">
        <v>87</v>
      </c>
      <c r="P89" s="5" t="s">
        <v>87</v>
      </c>
      <c r="Q89" s="5" t="s">
        <v>87</v>
      </c>
    </row>
    <row r="90" ht="42" customHeight="1" spans="1:17">
      <c r="A90" s="1" t="s">
        <v>521</v>
      </c>
      <c r="B90" s="1" t="s">
        <v>53</v>
      </c>
      <c r="C90" s="1" t="s">
        <v>409</v>
      </c>
      <c r="D90" s="1" t="s">
        <v>522</v>
      </c>
      <c r="E90" s="1" t="s">
        <v>15</v>
      </c>
      <c r="F90" s="1" t="s">
        <v>512</v>
      </c>
      <c r="G90" s="1" t="s">
        <v>523</v>
      </c>
      <c r="H90" s="1" t="s">
        <v>524</v>
      </c>
      <c r="I90" s="1" t="s">
        <v>525</v>
      </c>
      <c r="J90" s="1" t="s">
        <v>86</v>
      </c>
      <c r="K90" s="5" t="s">
        <v>14</v>
      </c>
      <c r="L90" s="5" t="s">
        <v>87</v>
      </c>
      <c r="M90" s="6"/>
      <c r="N90" s="5" t="s">
        <v>87</v>
      </c>
      <c r="O90" s="5" t="s">
        <v>87</v>
      </c>
      <c r="P90" s="5" t="s">
        <v>87</v>
      </c>
      <c r="Q90" s="5" t="s">
        <v>87</v>
      </c>
    </row>
    <row r="91" ht="57" customHeight="1" spans="1:17">
      <c r="A91" s="1" t="s">
        <v>526</v>
      </c>
      <c r="B91" s="1" t="s">
        <v>53</v>
      </c>
      <c r="C91" s="1" t="s">
        <v>409</v>
      </c>
      <c r="D91" s="1" t="s">
        <v>527</v>
      </c>
      <c r="E91" s="1" t="s">
        <v>11</v>
      </c>
      <c r="F91" s="1" t="s">
        <v>512</v>
      </c>
      <c r="G91" s="1" t="s">
        <v>528</v>
      </c>
      <c r="H91" s="1" t="s">
        <v>529</v>
      </c>
      <c r="I91" s="1" t="s">
        <v>530</v>
      </c>
      <c r="J91" s="1" t="s">
        <v>86</v>
      </c>
      <c r="K91" s="5" t="s">
        <v>14</v>
      </c>
      <c r="L91" s="5" t="s">
        <v>87</v>
      </c>
      <c r="M91" s="6"/>
      <c r="N91" s="5" t="s">
        <v>87</v>
      </c>
      <c r="O91" s="5" t="s">
        <v>87</v>
      </c>
      <c r="P91" s="5" t="s">
        <v>87</v>
      </c>
      <c r="Q91" s="5" t="s">
        <v>87</v>
      </c>
    </row>
    <row r="92" ht="42" customHeight="1" spans="1:17">
      <c r="A92" s="1" t="s">
        <v>531</v>
      </c>
      <c r="B92" s="1" t="s">
        <v>53</v>
      </c>
      <c r="C92" s="1" t="s">
        <v>409</v>
      </c>
      <c r="D92" s="1" t="s">
        <v>532</v>
      </c>
      <c r="E92" s="1" t="s">
        <v>11</v>
      </c>
      <c r="F92" s="1" t="s">
        <v>512</v>
      </c>
      <c r="G92" s="1" t="s">
        <v>533</v>
      </c>
      <c r="H92" s="1" t="s">
        <v>534</v>
      </c>
      <c r="I92" s="1" t="s">
        <v>535</v>
      </c>
      <c r="J92" s="1" t="s">
        <v>86</v>
      </c>
      <c r="K92" s="5" t="s">
        <v>14</v>
      </c>
      <c r="L92" s="5" t="s">
        <v>87</v>
      </c>
      <c r="M92" s="6"/>
      <c r="N92" s="5" t="s">
        <v>87</v>
      </c>
      <c r="O92" s="5" t="s">
        <v>87</v>
      </c>
      <c r="P92" s="5" t="s">
        <v>87</v>
      </c>
      <c r="Q92" s="5" t="s">
        <v>87</v>
      </c>
    </row>
    <row r="93" ht="42" customHeight="1" spans="1:17">
      <c r="A93" s="1" t="s">
        <v>536</v>
      </c>
      <c r="B93" s="1" t="s">
        <v>55</v>
      </c>
      <c r="C93" s="1" t="s">
        <v>176</v>
      </c>
      <c r="D93" s="1" t="s">
        <v>537</v>
      </c>
      <c r="E93" s="1" t="s">
        <v>11</v>
      </c>
      <c r="F93" s="1" t="s">
        <v>538</v>
      </c>
      <c r="G93" s="1" t="s">
        <v>539</v>
      </c>
      <c r="H93" s="1" t="s">
        <v>540</v>
      </c>
      <c r="I93" s="1" t="s">
        <v>541</v>
      </c>
      <c r="J93" s="1" t="s">
        <v>86</v>
      </c>
      <c r="K93" s="5" t="s">
        <v>14</v>
      </c>
      <c r="L93" s="5" t="s">
        <v>87</v>
      </c>
      <c r="M93" s="6"/>
      <c r="N93" s="5" t="s">
        <v>87</v>
      </c>
      <c r="O93" s="5" t="s">
        <v>87</v>
      </c>
      <c r="P93" s="5" t="s">
        <v>87</v>
      </c>
      <c r="Q93" s="5" t="s">
        <v>87</v>
      </c>
    </row>
    <row r="94" ht="57" customHeight="1" spans="1:17">
      <c r="A94" s="1" t="s">
        <v>542</v>
      </c>
      <c r="B94" s="1" t="s">
        <v>55</v>
      </c>
      <c r="C94" s="1" t="s">
        <v>176</v>
      </c>
      <c r="D94" s="1" t="s">
        <v>543</v>
      </c>
      <c r="E94" s="1" t="s">
        <v>11</v>
      </c>
      <c r="F94" s="1" t="s">
        <v>538</v>
      </c>
      <c r="G94" s="1" t="s">
        <v>544</v>
      </c>
      <c r="H94" s="1" t="s">
        <v>545</v>
      </c>
      <c r="I94" s="1" t="s">
        <v>546</v>
      </c>
      <c r="J94" s="1" t="s">
        <v>86</v>
      </c>
      <c r="K94" s="5" t="s">
        <v>14</v>
      </c>
      <c r="L94" s="5" t="s">
        <v>87</v>
      </c>
      <c r="M94" s="6"/>
      <c r="N94" s="5" t="s">
        <v>87</v>
      </c>
      <c r="O94" s="5" t="s">
        <v>87</v>
      </c>
      <c r="P94" s="5" t="s">
        <v>87</v>
      </c>
      <c r="Q94" s="5" t="s">
        <v>87</v>
      </c>
    </row>
    <row r="95" ht="72" customHeight="1" spans="1:17">
      <c r="A95" s="1" t="s">
        <v>547</v>
      </c>
      <c r="B95" s="1" t="s">
        <v>55</v>
      </c>
      <c r="C95" s="1" t="s">
        <v>176</v>
      </c>
      <c r="D95" s="1" t="s">
        <v>548</v>
      </c>
      <c r="E95" s="1" t="s">
        <v>11</v>
      </c>
      <c r="F95" s="1" t="s">
        <v>538</v>
      </c>
      <c r="G95" s="1" t="s">
        <v>549</v>
      </c>
      <c r="H95" s="1" t="s">
        <v>550</v>
      </c>
      <c r="I95" s="1" t="s">
        <v>551</v>
      </c>
      <c r="J95" s="1" t="s">
        <v>86</v>
      </c>
      <c r="K95" s="5" t="s">
        <v>14</v>
      </c>
      <c r="L95" s="5" t="s">
        <v>87</v>
      </c>
      <c r="M95" s="6"/>
      <c r="N95" s="5" t="s">
        <v>87</v>
      </c>
      <c r="O95" s="5" t="s">
        <v>87</v>
      </c>
      <c r="P95" s="5" t="s">
        <v>87</v>
      </c>
      <c r="Q95" s="5" t="s">
        <v>87</v>
      </c>
    </row>
    <row r="96" ht="57" customHeight="1" spans="1:17">
      <c r="A96" s="1" t="s">
        <v>552</v>
      </c>
      <c r="B96" s="1" t="s">
        <v>55</v>
      </c>
      <c r="C96" s="1" t="s">
        <v>176</v>
      </c>
      <c r="D96" s="1" t="s">
        <v>553</v>
      </c>
      <c r="E96" s="1" t="s">
        <v>15</v>
      </c>
      <c r="F96" s="1" t="s">
        <v>538</v>
      </c>
      <c r="G96" s="1" t="s">
        <v>554</v>
      </c>
      <c r="H96" s="1" t="s">
        <v>555</v>
      </c>
      <c r="I96" s="1" t="s">
        <v>556</v>
      </c>
      <c r="J96" s="1" t="s">
        <v>86</v>
      </c>
      <c r="K96" s="5" t="s">
        <v>14</v>
      </c>
      <c r="L96" s="5" t="s">
        <v>87</v>
      </c>
      <c r="M96" s="6"/>
      <c r="N96" s="5" t="s">
        <v>87</v>
      </c>
      <c r="O96" s="5" t="s">
        <v>87</v>
      </c>
      <c r="P96" s="5" t="s">
        <v>87</v>
      </c>
      <c r="Q96" s="5" t="s">
        <v>87</v>
      </c>
    </row>
    <row r="97" ht="72" customHeight="1" spans="1:17">
      <c r="A97" s="1" t="s">
        <v>557</v>
      </c>
      <c r="B97" s="1" t="s">
        <v>57</v>
      </c>
      <c r="C97" s="1" t="s">
        <v>558</v>
      </c>
      <c r="D97" s="1" t="s">
        <v>559</v>
      </c>
      <c r="E97" s="1" t="s">
        <v>11</v>
      </c>
      <c r="F97" s="1" t="s">
        <v>560</v>
      </c>
      <c r="G97" s="1" t="s">
        <v>561</v>
      </c>
      <c r="H97" s="1" t="s">
        <v>562</v>
      </c>
      <c r="I97" s="1" t="s">
        <v>563</v>
      </c>
      <c r="J97" s="1" t="s">
        <v>86</v>
      </c>
      <c r="K97" s="5" t="s">
        <v>14</v>
      </c>
      <c r="L97" s="5" t="s">
        <v>87</v>
      </c>
      <c r="M97" s="6"/>
      <c r="N97" s="5" t="s">
        <v>87</v>
      </c>
      <c r="O97" s="5" t="s">
        <v>87</v>
      </c>
      <c r="P97" s="5" t="s">
        <v>87</v>
      </c>
      <c r="Q97" s="5" t="s">
        <v>87</v>
      </c>
    </row>
    <row r="98" ht="72" customHeight="1" spans="1:17">
      <c r="A98" s="1" t="s">
        <v>564</v>
      </c>
      <c r="B98" s="1" t="s">
        <v>57</v>
      </c>
      <c r="C98" s="1" t="s">
        <v>558</v>
      </c>
      <c r="D98" s="1" t="s">
        <v>565</v>
      </c>
      <c r="E98" s="1" t="s">
        <v>11</v>
      </c>
      <c r="F98" s="1" t="s">
        <v>560</v>
      </c>
      <c r="G98" s="1" t="s">
        <v>566</v>
      </c>
      <c r="H98" s="1" t="s">
        <v>567</v>
      </c>
      <c r="I98" s="1" t="s">
        <v>568</v>
      </c>
      <c r="J98" s="1" t="s">
        <v>86</v>
      </c>
      <c r="K98" s="5" t="s">
        <v>14</v>
      </c>
      <c r="L98" s="5" t="s">
        <v>87</v>
      </c>
      <c r="M98" s="6"/>
      <c r="N98" s="5" t="s">
        <v>87</v>
      </c>
      <c r="O98" s="5" t="s">
        <v>87</v>
      </c>
      <c r="P98" s="5" t="s">
        <v>87</v>
      </c>
      <c r="Q98" s="5" t="s">
        <v>87</v>
      </c>
    </row>
    <row r="99" ht="57" customHeight="1" spans="1:17">
      <c r="A99" s="1" t="s">
        <v>569</v>
      </c>
      <c r="B99" s="1" t="s">
        <v>57</v>
      </c>
      <c r="C99" s="1" t="s">
        <v>558</v>
      </c>
      <c r="D99" s="1" t="s">
        <v>570</v>
      </c>
      <c r="E99" s="1" t="s">
        <v>11</v>
      </c>
      <c r="F99" s="1" t="s">
        <v>560</v>
      </c>
      <c r="G99" s="1" t="s">
        <v>571</v>
      </c>
      <c r="H99" s="1" t="s">
        <v>572</v>
      </c>
      <c r="I99" s="1" t="s">
        <v>573</v>
      </c>
      <c r="J99" s="1" t="s">
        <v>86</v>
      </c>
      <c r="K99" s="5" t="s">
        <v>14</v>
      </c>
      <c r="L99" s="5" t="s">
        <v>87</v>
      </c>
      <c r="M99" s="6"/>
      <c r="N99" s="5" t="s">
        <v>87</v>
      </c>
      <c r="O99" s="5" t="s">
        <v>87</v>
      </c>
      <c r="P99" s="5" t="s">
        <v>87</v>
      </c>
      <c r="Q99" s="5" t="s">
        <v>87</v>
      </c>
    </row>
    <row r="100" ht="42" customHeight="1" spans="1:17">
      <c r="A100" s="1" t="s">
        <v>574</v>
      </c>
      <c r="B100" s="1" t="s">
        <v>57</v>
      </c>
      <c r="C100" s="1" t="s">
        <v>558</v>
      </c>
      <c r="D100" s="1" t="s">
        <v>575</v>
      </c>
      <c r="E100" s="1" t="s">
        <v>11</v>
      </c>
      <c r="F100" s="1" t="s">
        <v>560</v>
      </c>
      <c r="G100" s="1" t="s">
        <v>576</v>
      </c>
      <c r="H100" s="1" t="s">
        <v>577</v>
      </c>
      <c r="I100" s="1" t="s">
        <v>578</v>
      </c>
      <c r="J100" s="1" t="s">
        <v>86</v>
      </c>
      <c r="K100" s="5" t="s">
        <v>14</v>
      </c>
      <c r="L100" s="5" t="s">
        <v>87</v>
      </c>
      <c r="M100" s="6"/>
      <c r="N100" s="5" t="s">
        <v>87</v>
      </c>
      <c r="O100" s="5" t="s">
        <v>87</v>
      </c>
      <c r="P100" s="5" t="s">
        <v>87</v>
      </c>
      <c r="Q100" s="5" t="s">
        <v>87</v>
      </c>
    </row>
    <row r="101" ht="42" customHeight="1" spans="1:17">
      <c r="A101" s="1" t="s">
        <v>579</v>
      </c>
      <c r="B101" s="1" t="s">
        <v>57</v>
      </c>
      <c r="C101" s="1" t="s">
        <v>558</v>
      </c>
      <c r="D101" s="1" t="s">
        <v>580</v>
      </c>
      <c r="E101" s="1" t="s">
        <v>15</v>
      </c>
      <c r="F101" s="1" t="s">
        <v>560</v>
      </c>
      <c r="G101" s="1" t="s">
        <v>581</v>
      </c>
      <c r="H101" s="1" t="s">
        <v>582</v>
      </c>
      <c r="I101" s="1" t="s">
        <v>583</v>
      </c>
      <c r="J101" s="1" t="s">
        <v>86</v>
      </c>
      <c r="K101" s="5" t="s">
        <v>14</v>
      </c>
      <c r="L101" s="5" t="s">
        <v>87</v>
      </c>
      <c r="M101" s="6"/>
      <c r="N101" s="5" t="s">
        <v>87</v>
      </c>
      <c r="O101" s="5" t="s">
        <v>87</v>
      </c>
      <c r="P101" s="5" t="s">
        <v>87</v>
      </c>
      <c r="Q101" s="5" t="s">
        <v>87</v>
      </c>
    </row>
    <row r="102" ht="42" customHeight="1" spans="1:17">
      <c r="A102" s="1" t="s">
        <v>584</v>
      </c>
      <c r="B102" s="1" t="s">
        <v>57</v>
      </c>
      <c r="C102" s="1" t="s">
        <v>558</v>
      </c>
      <c r="D102" s="1" t="s">
        <v>585</v>
      </c>
      <c r="E102" s="1" t="s">
        <v>11</v>
      </c>
      <c r="F102" s="1" t="s">
        <v>560</v>
      </c>
      <c r="G102" s="1" t="s">
        <v>586</v>
      </c>
      <c r="H102" s="1" t="s">
        <v>587</v>
      </c>
      <c r="I102" s="1" t="s">
        <v>588</v>
      </c>
      <c r="J102" s="1" t="s">
        <v>86</v>
      </c>
      <c r="K102" s="5" t="s">
        <v>14</v>
      </c>
      <c r="L102" s="5" t="s">
        <v>87</v>
      </c>
      <c r="M102" s="6"/>
      <c r="N102" s="5" t="s">
        <v>87</v>
      </c>
      <c r="O102" s="5" t="s">
        <v>87</v>
      </c>
      <c r="P102" s="5" t="s">
        <v>87</v>
      </c>
      <c r="Q102" s="5" t="s">
        <v>87</v>
      </c>
    </row>
    <row r="103" ht="57" customHeight="1" spans="1:17">
      <c r="A103" s="1" t="s">
        <v>589</v>
      </c>
      <c r="B103" s="1" t="s">
        <v>57</v>
      </c>
      <c r="C103" s="1" t="s">
        <v>558</v>
      </c>
      <c r="D103" s="1" t="s">
        <v>590</v>
      </c>
      <c r="E103" s="1" t="s">
        <v>11</v>
      </c>
      <c r="F103" s="1" t="s">
        <v>560</v>
      </c>
      <c r="G103" s="1" t="s">
        <v>591</v>
      </c>
      <c r="H103" s="1" t="s">
        <v>592</v>
      </c>
      <c r="I103" s="1" t="s">
        <v>593</v>
      </c>
      <c r="J103" s="1" t="s">
        <v>86</v>
      </c>
      <c r="K103" s="5" t="s">
        <v>14</v>
      </c>
      <c r="L103" s="5" t="s">
        <v>87</v>
      </c>
      <c r="M103" s="6"/>
      <c r="N103" s="5" t="s">
        <v>87</v>
      </c>
      <c r="O103" s="5" t="s">
        <v>87</v>
      </c>
      <c r="P103" s="5" t="s">
        <v>87</v>
      </c>
      <c r="Q103" s="5" t="s">
        <v>87</v>
      </c>
    </row>
    <row r="104" ht="42" customHeight="1" spans="1:17">
      <c r="A104" s="1" t="s">
        <v>594</v>
      </c>
      <c r="B104" s="1" t="s">
        <v>57</v>
      </c>
      <c r="C104" s="1" t="s">
        <v>558</v>
      </c>
      <c r="D104" s="1" t="s">
        <v>595</v>
      </c>
      <c r="E104" s="1" t="s">
        <v>15</v>
      </c>
      <c r="F104" s="1" t="s">
        <v>560</v>
      </c>
      <c r="G104" s="1" t="s">
        <v>596</v>
      </c>
      <c r="H104" s="1" t="s">
        <v>597</v>
      </c>
      <c r="I104" s="1" t="s">
        <v>598</v>
      </c>
      <c r="J104" s="1" t="s">
        <v>86</v>
      </c>
      <c r="K104" s="5" t="s">
        <v>14</v>
      </c>
      <c r="L104" s="5" t="s">
        <v>87</v>
      </c>
      <c r="M104" s="6"/>
      <c r="N104" s="5" t="s">
        <v>87</v>
      </c>
      <c r="O104" s="5" t="s">
        <v>87</v>
      </c>
      <c r="P104" s="5" t="s">
        <v>87</v>
      </c>
      <c r="Q104" s="5" t="s">
        <v>87</v>
      </c>
    </row>
    <row r="105" ht="57" customHeight="1" spans="1:17">
      <c r="A105" s="1" t="s">
        <v>599</v>
      </c>
      <c r="B105" s="1" t="s">
        <v>57</v>
      </c>
      <c r="C105" s="1" t="s">
        <v>558</v>
      </c>
      <c r="D105" s="1" t="s">
        <v>600</v>
      </c>
      <c r="E105" s="1" t="s">
        <v>11</v>
      </c>
      <c r="F105" s="1" t="s">
        <v>560</v>
      </c>
      <c r="G105" s="1" t="s">
        <v>601</v>
      </c>
      <c r="H105" s="1" t="s">
        <v>602</v>
      </c>
      <c r="I105" s="1" t="s">
        <v>603</v>
      </c>
      <c r="J105" s="1" t="s">
        <v>86</v>
      </c>
      <c r="K105" s="5" t="s">
        <v>14</v>
      </c>
      <c r="L105" s="5" t="s">
        <v>87</v>
      </c>
      <c r="M105" s="6"/>
      <c r="N105" s="5" t="s">
        <v>87</v>
      </c>
      <c r="O105" s="5" t="s">
        <v>87</v>
      </c>
      <c r="P105" s="5" t="s">
        <v>87</v>
      </c>
      <c r="Q105" s="5" t="s">
        <v>87</v>
      </c>
    </row>
    <row r="106" ht="57" customHeight="1" spans="1:17">
      <c r="A106" s="1" t="s">
        <v>604</v>
      </c>
      <c r="B106" s="1" t="s">
        <v>59</v>
      </c>
      <c r="C106" s="1" t="s">
        <v>494</v>
      </c>
      <c r="D106" s="1" t="s">
        <v>605</v>
      </c>
      <c r="E106" s="1" t="s">
        <v>11</v>
      </c>
      <c r="F106" s="1" t="s">
        <v>606</v>
      </c>
      <c r="G106" s="1" t="s">
        <v>607</v>
      </c>
      <c r="H106" s="1" t="s">
        <v>608</v>
      </c>
      <c r="I106" s="1" t="s">
        <v>609</v>
      </c>
      <c r="J106" s="1" t="s">
        <v>86</v>
      </c>
      <c r="K106" s="5" t="s">
        <v>14</v>
      </c>
      <c r="L106" s="5" t="s">
        <v>87</v>
      </c>
      <c r="M106" s="6"/>
      <c r="N106" s="5" t="s">
        <v>87</v>
      </c>
      <c r="O106" s="5" t="s">
        <v>87</v>
      </c>
      <c r="P106" s="5" t="s">
        <v>87</v>
      </c>
      <c r="Q106" s="5" t="s">
        <v>87</v>
      </c>
    </row>
    <row r="107" ht="72" customHeight="1" spans="1:17">
      <c r="A107" s="1" t="s">
        <v>610</v>
      </c>
      <c r="B107" s="1" t="s">
        <v>59</v>
      </c>
      <c r="C107" s="1" t="s">
        <v>494</v>
      </c>
      <c r="D107" s="1" t="s">
        <v>611</v>
      </c>
      <c r="E107" s="1" t="s">
        <v>11</v>
      </c>
      <c r="F107" s="1" t="s">
        <v>606</v>
      </c>
      <c r="G107" s="1" t="s">
        <v>612</v>
      </c>
      <c r="H107" s="1" t="s">
        <v>613</v>
      </c>
      <c r="I107" s="1" t="s">
        <v>614</v>
      </c>
      <c r="J107" s="1" t="s">
        <v>86</v>
      </c>
      <c r="K107" s="5" t="s">
        <v>14</v>
      </c>
      <c r="L107" s="5" t="s">
        <v>87</v>
      </c>
      <c r="M107" s="6"/>
      <c r="N107" s="5" t="s">
        <v>87</v>
      </c>
      <c r="O107" s="5" t="s">
        <v>87</v>
      </c>
      <c r="P107" s="5" t="s">
        <v>87</v>
      </c>
      <c r="Q107" s="5" t="s">
        <v>87</v>
      </c>
    </row>
    <row r="108" ht="42" customHeight="1" spans="1:17">
      <c r="A108" s="1" t="s">
        <v>615</v>
      </c>
      <c r="B108" s="1" t="s">
        <v>59</v>
      </c>
      <c r="C108" s="1" t="s">
        <v>494</v>
      </c>
      <c r="D108" s="1" t="s">
        <v>616</v>
      </c>
      <c r="E108" s="1" t="s">
        <v>11</v>
      </c>
      <c r="F108" s="1" t="s">
        <v>606</v>
      </c>
      <c r="G108" s="1" t="s">
        <v>617</v>
      </c>
      <c r="H108" s="1" t="s">
        <v>618</v>
      </c>
      <c r="I108" s="1" t="s">
        <v>619</v>
      </c>
      <c r="J108" s="1" t="s">
        <v>86</v>
      </c>
      <c r="K108" s="5" t="s">
        <v>14</v>
      </c>
      <c r="L108" s="5" t="s">
        <v>87</v>
      </c>
      <c r="M108" s="6"/>
      <c r="N108" s="5" t="s">
        <v>87</v>
      </c>
      <c r="O108" s="5" t="s">
        <v>87</v>
      </c>
      <c r="P108" s="5" t="s">
        <v>87</v>
      </c>
      <c r="Q108" s="5" t="s">
        <v>87</v>
      </c>
    </row>
    <row r="109" ht="102" customHeight="1" spans="1:17">
      <c r="A109" s="1" t="s">
        <v>620</v>
      </c>
      <c r="B109" s="1" t="s">
        <v>59</v>
      </c>
      <c r="C109" s="1" t="s">
        <v>494</v>
      </c>
      <c r="D109" s="1" t="s">
        <v>621</v>
      </c>
      <c r="E109" s="1" t="s">
        <v>11</v>
      </c>
      <c r="F109" s="1" t="s">
        <v>606</v>
      </c>
      <c r="G109" s="1" t="s">
        <v>622</v>
      </c>
      <c r="H109" s="1" t="s">
        <v>623</v>
      </c>
      <c r="I109" s="1" t="s">
        <v>624</v>
      </c>
      <c r="J109" s="1" t="s">
        <v>86</v>
      </c>
      <c r="K109" s="5" t="s">
        <v>14</v>
      </c>
      <c r="L109" s="5" t="s">
        <v>87</v>
      </c>
      <c r="M109" s="6"/>
      <c r="N109" s="5" t="s">
        <v>87</v>
      </c>
      <c r="O109" s="5" t="s">
        <v>87</v>
      </c>
      <c r="P109" s="5" t="s">
        <v>87</v>
      </c>
      <c r="Q109" s="5" t="s">
        <v>87</v>
      </c>
    </row>
    <row r="110" ht="72" customHeight="1" spans="1:17">
      <c r="A110" s="1" t="s">
        <v>625</v>
      </c>
      <c r="B110" s="1" t="s">
        <v>59</v>
      </c>
      <c r="C110" s="1" t="s">
        <v>494</v>
      </c>
      <c r="D110" s="1" t="s">
        <v>626</v>
      </c>
      <c r="E110" s="1" t="s">
        <v>11</v>
      </c>
      <c r="F110" s="1" t="s">
        <v>606</v>
      </c>
      <c r="G110" s="1" t="s">
        <v>627</v>
      </c>
      <c r="H110" s="1" t="s">
        <v>628</v>
      </c>
      <c r="I110" s="1" t="s">
        <v>629</v>
      </c>
      <c r="J110" s="1" t="s">
        <v>630</v>
      </c>
      <c r="K110" s="5" t="s">
        <v>14</v>
      </c>
      <c r="L110" s="5" t="s">
        <v>87</v>
      </c>
      <c r="M110" s="6"/>
      <c r="N110" s="5" t="s">
        <v>87</v>
      </c>
      <c r="O110" s="5" t="s">
        <v>87</v>
      </c>
      <c r="P110" s="5" t="s">
        <v>87</v>
      </c>
      <c r="Q110" s="5" t="s">
        <v>87</v>
      </c>
    </row>
  </sheetData>
  <conditionalFormatting sqref="K6:K110">
    <cfRule type="containsText" dxfId="0" priority="1" operator="between" text="Fail">
      <formula>NOT(ISERROR(SEARCH("Fail",K6)))</formula>
    </cfRule>
    <cfRule type="containsText" dxfId="1" priority="2" operator="between" text="Blocked">
      <formula>NOT(ISERROR(SEARCH("Blocked",K6)))</formula>
    </cfRule>
    <cfRule type="containsText" dxfId="2" priority="3" operator="between" text="Pass">
      <formula>NOT(ISERROR(SEARCH("Pass",K6)))</formula>
    </cfRule>
  </conditionalFormatting>
  <dataValidations count="1">
    <dataValidation type="list" sqref="K6:K110">
      <formula1>"Not Run,Pass,Fail,Blocked,N/A"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showGridLines="0" workbookViewId="0">
      <pane ySplit="5" topLeftCell="A33" activePane="bottomLeft" state="frozen"/>
      <selection/>
      <selection pane="bottomLeft" activeCell="C40" sqref="C40"/>
    </sheetView>
  </sheetViews>
  <sheetFormatPr defaultColWidth="9" defaultRowHeight="13.8" outlineLevelCol="3"/>
  <cols>
    <col min="1" max="1" width="16" customWidth="1"/>
    <col min="2" max="2" width="28" customWidth="1"/>
    <col min="3" max="3" width="88" customWidth="1"/>
    <col min="4" max="4" width="58" customWidth="1"/>
  </cols>
  <sheetData>
    <row r="1" spans="1:4">
      <c r="A1" s="1"/>
      <c r="B1" s="1"/>
      <c r="C1" s="1"/>
      <c r="D1" s="1"/>
    </row>
    <row r="2" ht="28" customHeight="1" spans="1:4">
      <c r="A2" s="2" t="s">
        <v>631</v>
      </c>
      <c r="B2" s="1"/>
      <c r="C2" s="1"/>
      <c r="D2" s="1"/>
    </row>
    <row r="3" spans="1:4">
      <c r="A3" s="3" t="s">
        <v>632</v>
      </c>
      <c r="B3" s="1"/>
      <c r="C3" s="1"/>
      <c r="D3" s="1"/>
    </row>
    <row r="4" spans="1:4">
      <c r="A4" s="1"/>
      <c r="B4" s="1"/>
      <c r="C4" s="1"/>
      <c r="D4" s="1"/>
    </row>
    <row r="5" ht="34" customHeight="1" spans="1:4">
      <c r="A5" s="4" t="s">
        <v>633</v>
      </c>
      <c r="B5" s="4" t="s">
        <v>634</v>
      </c>
      <c r="C5" s="4" t="s">
        <v>635</v>
      </c>
      <c r="D5" s="4" t="s">
        <v>636</v>
      </c>
    </row>
    <row r="6" ht="32" customHeight="1" spans="1:4">
      <c r="A6" s="1" t="s">
        <v>637</v>
      </c>
      <c r="B6" s="1" t="s">
        <v>638</v>
      </c>
      <c r="C6" s="1" t="s">
        <v>639</v>
      </c>
      <c r="D6" s="5" t="s">
        <v>87</v>
      </c>
    </row>
    <row r="7" ht="32" customHeight="1" spans="1:4">
      <c r="A7" s="1" t="s">
        <v>637</v>
      </c>
      <c r="B7" s="1" t="s">
        <v>640</v>
      </c>
      <c r="C7" s="1" t="s">
        <v>641</v>
      </c>
      <c r="D7" s="5" t="s">
        <v>87</v>
      </c>
    </row>
    <row r="8" ht="32" customHeight="1" spans="1:4">
      <c r="A8" s="1" t="s">
        <v>637</v>
      </c>
      <c r="B8" s="1" t="s">
        <v>642</v>
      </c>
      <c r="C8" s="1" t="s">
        <v>643</v>
      </c>
      <c r="D8" s="5" t="s">
        <v>87</v>
      </c>
    </row>
    <row r="9" ht="32" customHeight="1" spans="1:4">
      <c r="A9" s="1" t="s">
        <v>637</v>
      </c>
      <c r="B9" s="1" t="s">
        <v>75</v>
      </c>
      <c r="C9" s="1" t="s">
        <v>644</v>
      </c>
      <c r="D9" s="5" t="s">
        <v>87</v>
      </c>
    </row>
    <row r="10" ht="32" customHeight="1" spans="1:4">
      <c r="A10" s="1" t="s">
        <v>637</v>
      </c>
      <c r="B10" s="1" t="s">
        <v>645</v>
      </c>
      <c r="C10" s="1" t="s">
        <v>646</v>
      </c>
      <c r="D10" s="5" t="s">
        <v>87</v>
      </c>
    </row>
    <row r="11" ht="42" customHeight="1" spans="1:4">
      <c r="A11" s="1" t="s">
        <v>647</v>
      </c>
      <c r="B11" s="1" t="s">
        <v>648</v>
      </c>
      <c r="C11" s="1" t="s">
        <v>649</v>
      </c>
      <c r="D11" s="5" t="s">
        <v>87</v>
      </c>
    </row>
    <row r="12" ht="42" customHeight="1" spans="1:4">
      <c r="A12" s="1" t="s">
        <v>650</v>
      </c>
      <c r="B12" s="1" t="s">
        <v>651</v>
      </c>
      <c r="C12" s="1" t="s">
        <v>652</v>
      </c>
      <c r="D12" s="5" t="s">
        <v>87</v>
      </c>
    </row>
    <row r="13" ht="32" customHeight="1" spans="1:4">
      <c r="A13" s="1" t="s">
        <v>650</v>
      </c>
      <c r="B13" s="1" t="s">
        <v>653</v>
      </c>
      <c r="C13" s="1" t="s">
        <v>654</v>
      </c>
      <c r="D13" s="5" t="s">
        <v>87</v>
      </c>
    </row>
    <row r="14" ht="42" customHeight="1" spans="1:4">
      <c r="A14" s="1" t="s">
        <v>650</v>
      </c>
      <c r="B14" s="1" t="s">
        <v>655</v>
      </c>
      <c r="C14" s="1" t="s">
        <v>656</v>
      </c>
      <c r="D14" s="5" t="s">
        <v>87</v>
      </c>
    </row>
    <row r="15" ht="32" customHeight="1" spans="1:4">
      <c r="A15" s="1" t="s">
        <v>657</v>
      </c>
      <c r="B15" s="1" t="s">
        <v>658</v>
      </c>
      <c r="C15" s="1" t="s">
        <v>659</v>
      </c>
      <c r="D15" s="5" t="s">
        <v>87</v>
      </c>
    </row>
    <row r="16" ht="42" customHeight="1" spans="1:4">
      <c r="A16" s="1" t="s">
        <v>657</v>
      </c>
      <c r="B16" s="1" t="s">
        <v>660</v>
      </c>
      <c r="C16" s="1" t="s">
        <v>661</v>
      </c>
      <c r="D16" s="5" t="s">
        <v>87</v>
      </c>
    </row>
    <row r="17" ht="32" customHeight="1" spans="1:4">
      <c r="A17" s="1" t="s">
        <v>657</v>
      </c>
      <c r="B17" s="1" t="s">
        <v>662</v>
      </c>
      <c r="C17" s="1" t="s">
        <v>663</v>
      </c>
      <c r="D17" s="5" t="s">
        <v>87</v>
      </c>
    </row>
    <row r="18" ht="42" customHeight="1" spans="1:4">
      <c r="A18" s="1" t="s">
        <v>657</v>
      </c>
      <c r="B18" s="1" t="s">
        <v>664</v>
      </c>
      <c r="C18" s="1" t="s">
        <v>665</v>
      </c>
      <c r="D18" s="5" t="s">
        <v>87</v>
      </c>
    </row>
    <row r="19" ht="32" customHeight="1" spans="1:4">
      <c r="A19" s="1" t="s">
        <v>657</v>
      </c>
      <c r="B19" s="1" t="s">
        <v>666</v>
      </c>
      <c r="C19" s="1" t="s">
        <v>667</v>
      </c>
      <c r="D19" s="5" t="s">
        <v>87</v>
      </c>
    </row>
    <row r="20" ht="42" customHeight="1" spans="1:4">
      <c r="A20" s="1" t="s">
        <v>668</v>
      </c>
      <c r="B20" s="1" t="s">
        <v>669</v>
      </c>
      <c r="C20" s="1" t="s">
        <v>670</v>
      </c>
      <c r="D20" s="5" t="s">
        <v>87</v>
      </c>
    </row>
    <row r="21" ht="32" customHeight="1" spans="1:4">
      <c r="A21" s="1" t="s">
        <v>671</v>
      </c>
      <c r="B21" s="1" t="s">
        <v>672</v>
      </c>
      <c r="C21" s="1" t="s">
        <v>673</v>
      </c>
      <c r="D21" s="5" t="s">
        <v>87</v>
      </c>
    </row>
    <row r="22" ht="32" customHeight="1" spans="1:4">
      <c r="A22" s="1" t="s">
        <v>671</v>
      </c>
      <c r="B22" s="1" t="s">
        <v>674</v>
      </c>
      <c r="C22" s="1" t="s">
        <v>675</v>
      </c>
      <c r="D22" s="5" t="s">
        <v>87</v>
      </c>
    </row>
    <row r="23" ht="32" customHeight="1" spans="1:4">
      <c r="A23" s="1" t="s">
        <v>671</v>
      </c>
      <c r="B23" s="1" t="s">
        <v>676</v>
      </c>
      <c r="C23" s="1" t="s">
        <v>677</v>
      </c>
      <c r="D23" s="5" t="s">
        <v>87</v>
      </c>
    </row>
    <row r="24" ht="32" customHeight="1" spans="1:4">
      <c r="A24" s="1" t="s">
        <v>671</v>
      </c>
      <c r="B24" s="1" t="s">
        <v>678</v>
      </c>
      <c r="C24" s="1" t="s">
        <v>679</v>
      </c>
      <c r="D24" s="5" t="s">
        <v>87</v>
      </c>
    </row>
    <row r="25" ht="32" customHeight="1" spans="1:4">
      <c r="A25" s="1" t="s">
        <v>680</v>
      </c>
      <c r="B25" s="1" t="s">
        <v>681</v>
      </c>
      <c r="C25" s="1" t="s">
        <v>682</v>
      </c>
      <c r="D25" s="5" t="s">
        <v>87</v>
      </c>
    </row>
    <row r="26" ht="42" customHeight="1" spans="1:4">
      <c r="A26" s="1" t="s">
        <v>680</v>
      </c>
      <c r="B26" s="1" t="s">
        <v>683</v>
      </c>
      <c r="C26" s="1" t="s">
        <v>684</v>
      </c>
      <c r="D26" s="5" t="s">
        <v>87</v>
      </c>
    </row>
    <row r="27" ht="42" customHeight="1" spans="1:4">
      <c r="A27" s="1" t="s">
        <v>680</v>
      </c>
      <c r="B27" s="1" t="s">
        <v>685</v>
      </c>
      <c r="C27" s="1" t="s">
        <v>686</v>
      </c>
      <c r="D27" s="5" t="s">
        <v>87</v>
      </c>
    </row>
    <row r="28" ht="32" customHeight="1" spans="1:4">
      <c r="A28" s="1" t="s">
        <v>687</v>
      </c>
      <c r="B28" s="1" t="s">
        <v>688</v>
      </c>
      <c r="C28" s="1" t="s">
        <v>689</v>
      </c>
      <c r="D28" s="5" t="s">
        <v>87</v>
      </c>
    </row>
    <row r="29" ht="32" customHeight="1" spans="1:4">
      <c r="A29" s="1" t="s">
        <v>690</v>
      </c>
      <c r="B29" s="1" t="s">
        <v>691</v>
      </c>
      <c r="C29" s="1" t="s">
        <v>692</v>
      </c>
      <c r="D29" s="5" t="s">
        <v>87</v>
      </c>
    </row>
    <row r="30" ht="32" customHeight="1" spans="1:4">
      <c r="A30" s="1" t="s">
        <v>690</v>
      </c>
      <c r="B30" s="1" t="s">
        <v>693</v>
      </c>
      <c r="C30" s="1" t="s">
        <v>694</v>
      </c>
      <c r="D30" s="5" t="s">
        <v>87</v>
      </c>
    </row>
    <row r="31" ht="42" customHeight="1" spans="1:4">
      <c r="A31" s="1" t="s">
        <v>695</v>
      </c>
      <c r="B31" s="1" t="s">
        <v>696</v>
      </c>
      <c r="C31" s="1" t="s">
        <v>697</v>
      </c>
      <c r="D31" s="5" t="s">
        <v>87</v>
      </c>
    </row>
    <row r="32" ht="42" customHeight="1" spans="1:4">
      <c r="A32" s="1" t="s">
        <v>695</v>
      </c>
      <c r="B32" s="1" t="s">
        <v>698</v>
      </c>
      <c r="C32" s="1" t="s">
        <v>699</v>
      </c>
      <c r="D32" s="5" t="s">
        <v>87</v>
      </c>
    </row>
    <row r="33" ht="42" customHeight="1" spans="1:4">
      <c r="A33" s="1" t="s">
        <v>700</v>
      </c>
      <c r="B33" s="1" t="s">
        <v>701</v>
      </c>
      <c r="C33" s="1" t="s">
        <v>702</v>
      </c>
      <c r="D33" s="5" t="s">
        <v>87</v>
      </c>
    </row>
    <row r="34" ht="32" customHeight="1" spans="1:4">
      <c r="A34" s="1" t="s">
        <v>700</v>
      </c>
      <c r="B34" s="1" t="s">
        <v>703</v>
      </c>
      <c r="C34" s="1" t="s">
        <v>704</v>
      </c>
      <c r="D34" s="5" t="s">
        <v>87</v>
      </c>
    </row>
    <row r="38" ht="17.4" spans="1:4">
      <c r="A38" s="7"/>
    </row>
    <row r="40" ht="44" customHeight="1" spans="1:4">
      <c r="B40" s="1"/>
      <c r="C40" s="1"/>
    </row>
    <row r="41" ht="44" customHeight="1" spans="1:4">
      <c r="B41" s="1"/>
      <c r="C41" s="1"/>
    </row>
    <row r="42" ht="44" customHeight="1" spans="1:4">
      <c r="B42" s="1"/>
      <c r="C42" s="1"/>
    </row>
    <row r="43" ht="44" customHeight="1" spans="1:4">
      <c r="B43" s="1"/>
      <c r="C43" s="1"/>
    </row>
    <row r="44" ht="44" customHeight="1" spans="1:4">
      <c r="B44" s="1"/>
      <c r="C44" s="1"/>
    </row>
    <row r="45" ht="44" customHeight="1" spans="1:4">
      <c r="B45" s="1"/>
      <c r="C45" s="1"/>
    </row>
    <row r="46" ht="44" customHeight="1" spans="1:4">
      <c r="B46" s="1"/>
      <c r="C46" s="1"/>
    </row>
    <row r="47" ht="44" customHeight="1" spans="1:4">
      <c r="B47" s="1"/>
      <c r="C47" s="1"/>
    </row>
    <row r="48" ht="44" customHeight="1" spans="1:4">
      <c r="B48" s="1"/>
      <c r="C48" s="1"/>
    </row>
    <row r="49" ht="44" customHeight="1" spans="2:3">
      <c r="B49" s="1"/>
      <c r="C49" s="1"/>
    </row>
    <row r="50" ht="44" customHeight="1" spans="2:3">
      <c r="B50" s="1"/>
      <c r="C50" s="1"/>
    </row>
    <row r="51" ht="44" customHeight="1" spans="2:3">
      <c r="B51" s="1"/>
      <c r="C51" s="1"/>
    </row>
    <row r="52" ht="44" customHeight="1" spans="2:3">
      <c r="B52" s="1"/>
      <c r="C52" s="1"/>
    </row>
    <row r="53" ht="44" customHeight="1" spans="2:3">
      <c r="B53" s="1"/>
      <c r="C53" s="1"/>
    </row>
    <row r="54" ht="60" customHeight="1" spans="2:3">
      <c r="B54" s="1"/>
      <c r="C54" s="1"/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3.8"/>
  <cols>
    <col min="1" max="1" width="18" customWidth="1"/>
    <col min="2" max="2" width="20" customWidth="1"/>
    <col min="3" max="3" width="34" customWidth="1"/>
    <col min="4" max="4" width="18" customWidth="1"/>
    <col min="5" max="5" width="58" customWidth="1"/>
    <col min="6" max="7" width="45" customWidth="1"/>
    <col min="8" max="8" width="20" customWidth="1"/>
    <col min="9" max="9" width="30" customWidth="1"/>
    <col min="10" max="11" width="24" customWidth="1"/>
    <col min="12" max="12" width="20" customWidth="1"/>
    <col min="13" max="13" width="18" customWidth="1"/>
    <col min="14" max="14" width="32" customWidth="1"/>
    <col min="15" max="15" width="40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8" customHeight="1" spans="1:15">
      <c r="A2" s="2" t="s">
        <v>705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3" t="s">
        <v>706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34" customHeight="1" spans="1:15">
      <c r="A5" s="4" t="s">
        <v>77</v>
      </c>
      <c r="B5" s="4" t="s">
        <v>707</v>
      </c>
      <c r="C5" s="4" t="s">
        <v>708</v>
      </c>
      <c r="D5" s="4" t="s">
        <v>709</v>
      </c>
      <c r="E5" s="4" t="s">
        <v>710</v>
      </c>
      <c r="F5" s="4" t="s">
        <v>711</v>
      </c>
      <c r="G5" s="4" t="s">
        <v>712</v>
      </c>
      <c r="H5" s="4" t="s">
        <v>713</v>
      </c>
      <c r="I5" s="4" t="s">
        <v>76</v>
      </c>
      <c r="J5" s="4" t="s">
        <v>714</v>
      </c>
      <c r="K5" s="4" t="s">
        <v>715</v>
      </c>
      <c r="L5" s="4" t="s">
        <v>716</v>
      </c>
      <c r="M5" s="4" t="s">
        <v>717</v>
      </c>
      <c r="N5" s="4" t="s">
        <v>718</v>
      </c>
      <c r="O5" s="4" t="s">
        <v>719</v>
      </c>
    </row>
    <row r="6" ht="70" customHeight="1" spans="1:15">
      <c r="A6" s="5" t="s">
        <v>87</v>
      </c>
      <c r="B6" s="5" t="s">
        <v>87</v>
      </c>
      <c r="C6" s="5" t="s">
        <v>87</v>
      </c>
      <c r="D6" s="5" t="s">
        <v>87</v>
      </c>
      <c r="E6" s="5" t="s">
        <v>87</v>
      </c>
      <c r="F6" s="5" t="s">
        <v>87</v>
      </c>
      <c r="G6" s="5" t="s">
        <v>87</v>
      </c>
      <c r="H6" s="5" t="s">
        <v>87</v>
      </c>
      <c r="I6" s="5" t="s">
        <v>87</v>
      </c>
      <c r="J6" s="5" t="s">
        <v>87</v>
      </c>
      <c r="K6" s="5" t="s">
        <v>87</v>
      </c>
      <c r="L6" s="5" t="s">
        <v>87</v>
      </c>
      <c r="M6" s="6" t="s">
        <v>87</v>
      </c>
      <c r="N6" s="5" t="s">
        <v>87</v>
      </c>
      <c r="O6" s="5" t="s">
        <v>87</v>
      </c>
    </row>
    <row r="7" ht="70" customHeight="1" spans="1:15">
      <c r="A7" s="5" t="s">
        <v>87</v>
      </c>
      <c r="B7" s="5" t="s">
        <v>87</v>
      </c>
      <c r="C7" s="5" t="s">
        <v>87</v>
      </c>
      <c r="D7" s="5" t="s">
        <v>87</v>
      </c>
      <c r="E7" s="5" t="s">
        <v>87</v>
      </c>
      <c r="F7" s="5" t="s">
        <v>87</v>
      </c>
      <c r="G7" s="5" t="s">
        <v>87</v>
      </c>
      <c r="H7" s="5" t="s">
        <v>87</v>
      </c>
      <c r="I7" s="5" t="s">
        <v>87</v>
      </c>
      <c r="J7" s="5" t="s">
        <v>87</v>
      </c>
      <c r="K7" s="5" t="s">
        <v>87</v>
      </c>
      <c r="L7" s="5" t="s">
        <v>87</v>
      </c>
      <c r="M7" s="6" t="s">
        <v>87</v>
      </c>
      <c r="N7" s="5" t="s">
        <v>87</v>
      </c>
      <c r="O7" s="5" t="s">
        <v>87</v>
      </c>
    </row>
    <row r="8" ht="70" customHeight="1" spans="1:15">
      <c r="A8" s="5" t="s">
        <v>87</v>
      </c>
      <c r="B8" s="5" t="s">
        <v>87</v>
      </c>
      <c r="C8" s="5" t="s">
        <v>87</v>
      </c>
      <c r="D8" s="5" t="s">
        <v>87</v>
      </c>
      <c r="E8" s="5" t="s">
        <v>87</v>
      </c>
      <c r="F8" s="5" t="s">
        <v>87</v>
      </c>
      <c r="G8" s="5" t="s">
        <v>87</v>
      </c>
      <c r="H8" s="5" t="s">
        <v>87</v>
      </c>
      <c r="I8" s="5" t="s">
        <v>87</v>
      </c>
      <c r="J8" s="5" t="s">
        <v>87</v>
      </c>
      <c r="K8" s="5" t="s">
        <v>87</v>
      </c>
      <c r="L8" s="5" t="s">
        <v>87</v>
      </c>
      <c r="M8" s="6" t="s">
        <v>87</v>
      </c>
      <c r="N8" s="5" t="s">
        <v>87</v>
      </c>
      <c r="O8" s="5" t="s">
        <v>87</v>
      </c>
    </row>
    <row r="9" ht="70" customHeight="1" spans="1:15">
      <c r="A9" s="5" t="s">
        <v>87</v>
      </c>
      <c r="B9" s="5" t="s">
        <v>87</v>
      </c>
      <c r="C9" s="5" t="s">
        <v>87</v>
      </c>
      <c r="D9" s="5" t="s">
        <v>87</v>
      </c>
      <c r="E9" s="5" t="s">
        <v>87</v>
      </c>
      <c r="F9" s="5" t="s">
        <v>87</v>
      </c>
      <c r="G9" s="5" t="s">
        <v>87</v>
      </c>
      <c r="H9" s="5" t="s">
        <v>87</v>
      </c>
      <c r="I9" s="5" t="s">
        <v>87</v>
      </c>
      <c r="J9" s="5" t="s">
        <v>87</v>
      </c>
      <c r="K9" s="5" t="s">
        <v>87</v>
      </c>
      <c r="L9" s="5" t="s">
        <v>87</v>
      </c>
      <c r="M9" s="6" t="s">
        <v>87</v>
      </c>
      <c r="N9" s="5" t="s">
        <v>87</v>
      </c>
      <c r="O9" s="5" t="s">
        <v>87</v>
      </c>
    </row>
    <row r="10" ht="70" customHeight="1" spans="1:15">
      <c r="A10" s="5" t="s">
        <v>87</v>
      </c>
      <c r="B10" s="5" t="s">
        <v>87</v>
      </c>
      <c r="C10" s="5" t="s">
        <v>87</v>
      </c>
      <c r="D10" s="5" t="s">
        <v>87</v>
      </c>
      <c r="E10" s="5" t="s">
        <v>87</v>
      </c>
      <c r="F10" s="5" t="s">
        <v>87</v>
      </c>
      <c r="G10" s="5" t="s">
        <v>87</v>
      </c>
      <c r="H10" s="5" t="s">
        <v>87</v>
      </c>
      <c r="I10" s="5" t="s">
        <v>87</v>
      </c>
      <c r="J10" s="5" t="s">
        <v>87</v>
      </c>
      <c r="K10" s="5" t="s">
        <v>87</v>
      </c>
      <c r="L10" s="5" t="s">
        <v>87</v>
      </c>
      <c r="M10" s="6" t="s">
        <v>87</v>
      </c>
      <c r="N10" s="5" t="s">
        <v>87</v>
      </c>
      <c r="O10" s="5" t="s">
        <v>87</v>
      </c>
    </row>
    <row r="11" ht="70" customHeight="1" spans="1:15">
      <c r="A11" s="5" t="s">
        <v>87</v>
      </c>
      <c r="B11" s="5" t="s">
        <v>87</v>
      </c>
      <c r="C11" s="5" t="s">
        <v>87</v>
      </c>
      <c r="D11" s="5" t="s">
        <v>87</v>
      </c>
      <c r="E11" s="5" t="s">
        <v>87</v>
      </c>
      <c r="F11" s="5" t="s">
        <v>87</v>
      </c>
      <c r="G11" s="5" t="s">
        <v>87</v>
      </c>
      <c r="H11" s="5" t="s">
        <v>87</v>
      </c>
      <c r="I11" s="5" t="s">
        <v>87</v>
      </c>
      <c r="J11" s="5" t="s">
        <v>87</v>
      </c>
      <c r="K11" s="5" t="s">
        <v>87</v>
      </c>
      <c r="L11" s="5" t="s">
        <v>87</v>
      </c>
      <c r="M11" s="6" t="s">
        <v>87</v>
      </c>
      <c r="N11" s="5" t="s">
        <v>87</v>
      </c>
      <c r="O11" s="5" t="s">
        <v>87</v>
      </c>
    </row>
    <row r="12" ht="70" customHeight="1" spans="1:15">
      <c r="A12" s="5" t="s">
        <v>87</v>
      </c>
      <c r="B12" s="5" t="s">
        <v>87</v>
      </c>
      <c r="C12" s="5" t="s">
        <v>87</v>
      </c>
      <c r="D12" s="5" t="s">
        <v>87</v>
      </c>
      <c r="E12" s="5" t="s">
        <v>87</v>
      </c>
      <c r="F12" s="5" t="s">
        <v>87</v>
      </c>
      <c r="G12" s="5" t="s">
        <v>87</v>
      </c>
      <c r="H12" s="5" t="s">
        <v>87</v>
      </c>
      <c r="I12" s="5" t="s">
        <v>87</v>
      </c>
      <c r="J12" s="5" t="s">
        <v>87</v>
      </c>
      <c r="K12" s="5" t="s">
        <v>87</v>
      </c>
      <c r="L12" s="5" t="s">
        <v>87</v>
      </c>
      <c r="M12" s="6" t="s">
        <v>87</v>
      </c>
      <c r="N12" s="5" t="s">
        <v>87</v>
      </c>
      <c r="O12" s="5" t="s">
        <v>87</v>
      </c>
    </row>
    <row r="13" ht="70" customHeight="1" spans="1:15">
      <c r="A13" s="5" t="s">
        <v>87</v>
      </c>
      <c r="B13" s="5" t="s">
        <v>87</v>
      </c>
      <c r="C13" s="5" t="s">
        <v>87</v>
      </c>
      <c r="D13" s="5" t="s">
        <v>87</v>
      </c>
      <c r="E13" s="5" t="s">
        <v>87</v>
      </c>
      <c r="F13" s="5" t="s">
        <v>87</v>
      </c>
      <c r="G13" s="5" t="s">
        <v>87</v>
      </c>
      <c r="H13" s="5" t="s">
        <v>87</v>
      </c>
      <c r="I13" s="5" t="s">
        <v>87</v>
      </c>
      <c r="J13" s="5" t="s">
        <v>87</v>
      </c>
      <c r="K13" s="5" t="s">
        <v>87</v>
      </c>
      <c r="L13" s="5" t="s">
        <v>87</v>
      </c>
      <c r="M13" s="6" t="s">
        <v>87</v>
      </c>
      <c r="N13" s="5" t="s">
        <v>87</v>
      </c>
      <c r="O13" s="5" t="s">
        <v>87</v>
      </c>
    </row>
    <row r="14" ht="70" customHeight="1" spans="1:15">
      <c r="A14" s="5" t="s">
        <v>87</v>
      </c>
      <c r="B14" s="5" t="s">
        <v>87</v>
      </c>
      <c r="C14" s="5" t="s">
        <v>87</v>
      </c>
      <c r="D14" s="5" t="s">
        <v>87</v>
      </c>
      <c r="E14" s="5" t="s">
        <v>87</v>
      </c>
      <c r="F14" s="5" t="s">
        <v>87</v>
      </c>
      <c r="G14" s="5" t="s">
        <v>87</v>
      </c>
      <c r="H14" s="5" t="s">
        <v>87</v>
      </c>
      <c r="I14" s="5" t="s">
        <v>87</v>
      </c>
      <c r="J14" s="5" t="s">
        <v>87</v>
      </c>
      <c r="K14" s="5" t="s">
        <v>87</v>
      </c>
      <c r="L14" s="5" t="s">
        <v>87</v>
      </c>
      <c r="M14" s="6" t="s">
        <v>87</v>
      </c>
      <c r="N14" s="5" t="s">
        <v>87</v>
      </c>
      <c r="O14" s="5" t="s">
        <v>87</v>
      </c>
    </row>
    <row r="15" ht="70" customHeight="1" spans="1:15">
      <c r="A15" s="5" t="s">
        <v>87</v>
      </c>
      <c r="B15" s="5" t="s">
        <v>87</v>
      </c>
      <c r="C15" s="5" t="s">
        <v>87</v>
      </c>
      <c r="D15" s="5" t="s">
        <v>87</v>
      </c>
      <c r="E15" s="5" t="s">
        <v>87</v>
      </c>
      <c r="F15" s="5" t="s">
        <v>87</v>
      </c>
      <c r="G15" s="5" t="s">
        <v>87</v>
      </c>
      <c r="H15" s="5" t="s">
        <v>87</v>
      </c>
      <c r="I15" s="5" t="s">
        <v>87</v>
      </c>
      <c r="J15" s="5" t="s">
        <v>87</v>
      </c>
      <c r="K15" s="5" t="s">
        <v>87</v>
      </c>
      <c r="L15" s="5" t="s">
        <v>87</v>
      </c>
      <c r="M15" s="6" t="s">
        <v>87</v>
      </c>
      <c r="N15" s="5" t="s">
        <v>87</v>
      </c>
      <c r="O15" s="5" t="s">
        <v>87</v>
      </c>
    </row>
    <row r="16" ht="70" customHeight="1" spans="1:15">
      <c r="A16" s="5" t="s">
        <v>87</v>
      </c>
      <c r="B16" s="5" t="s">
        <v>87</v>
      </c>
      <c r="C16" s="5" t="s">
        <v>87</v>
      </c>
      <c r="D16" s="5" t="s">
        <v>87</v>
      </c>
      <c r="E16" s="5" t="s">
        <v>87</v>
      </c>
      <c r="F16" s="5" t="s">
        <v>87</v>
      </c>
      <c r="G16" s="5" t="s">
        <v>87</v>
      </c>
      <c r="H16" s="5" t="s">
        <v>87</v>
      </c>
      <c r="I16" s="5" t="s">
        <v>87</v>
      </c>
      <c r="J16" s="5" t="s">
        <v>87</v>
      </c>
      <c r="K16" s="5" t="s">
        <v>87</v>
      </c>
      <c r="L16" s="5" t="s">
        <v>87</v>
      </c>
      <c r="M16" s="6" t="s">
        <v>87</v>
      </c>
      <c r="N16" s="5" t="s">
        <v>87</v>
      </c>
      <c r="O16" s="5" t="s">
        <v>87</v>
      </c>
    </row>
    <row r="17" ht="70" customHeight="1" spans="1:15">
      <c r="A17" s="5" t="s">
        <v>87</v>
      </c>
      <c r="B17" s="5" t="s">
        <v>87</v>
      </c>
      <c r="C17" s="5" t="s">
        <v>87</v>
      </c>
      <c r="D17" s="5" t="s">
        <v>87</v>
      </c>
      <c r="E17" s="5" t="s">
        <v>87</v>
      </c>
      <c r="F17" s="5" t="s">
        <v>87</v>
      </c>
      <c r="G17" s="5" t="s">
        <v>87</v>
      </c>
      <c r="H17" s="5" t="s">
        <v>87</v>
      </c>
      <c r="I17" s="5" t="s">
        <v>87</v>
      </c>
      <c r="J17" s="5" t="s">
        <v>87</v>
      </c>
      <c r="K17" s="5" t="s">
        <v>87</v>
      </c>
      <c r="L17" s="5" t="s">
        <v>87</v>
      </c>
      <c r="M17" s="6" t="s">
        <v>87</v>
      </c>
      <c r="N17" s="5" t="s">
        <v>87</v>
      </c>
      <c r="O17" s="5" t="s">
        <v>87</v>
      </c>
    </row>
    <row r="18" ht="70" customHeight="1" spans="1:15">
      <c r="A18" s="5" t="s">
        <v>87</v>
      </c>
      <c r="B18" s="5" t="s">
        <v>87</v>
      </c>
      <c r="C18" s="5" t="s">
        <v>87</v>
      </c>
      <c r="D18" s="5" t="s">
        <v>87</v>
      </c>
      <c r="E18" s="5" t="s">
        <v>87</v>
      </c>
      <c r="F18" s="5" t="s">
        <v>87</v>
      </c>
      <c r="G18" s="5" t="s">
        <v>87</v>
      </c>
      <c r="H18" s="5" t="s">
        <v>87</v>
      </c>
      <c r="I18" s="5" t="s">
        <v>87</v>
      </c>
      <c r="J18" s="5" t="s">
        <v>87</v>
      </c>
      <c r="K18" s="5" t="s">
        <v>87</v>
      </c>
      <c r="L18" s="5" t="s">
        <v>87</v>
      </c>
      <c r="M18" s="6" t="s">
        <v>87</v>
      </c>
      <c r="N18" s="5" t="s">
        <v>87</v>
      </c>
      <c r="O18" s="5" t="s">
        <v>87</v>
      </c>
    </row>
    <row r="19" ht="70" customHeight="1" spans="1:15">
      <c r="A19" s="5" t="s">
        <v>87</v>
      </c>
      <c r="B19" s="5" t="s">
        <v>87</v>
      </c>
      <c r="C19" s="5" t="s">
        <v>87</v>
      </c>
      <c r="D19" s="5" t="s">
        <v>87</v>
      </c>
      <c r="E19" s="5" t="s">
        <v>87</v>
      </c>
      <c r="F19" s="5" t="s">
        <v>87</v>
      </c>
      <c r="G19" s="5" t="s">
        <v>87</v>
      </c>
      <c r="H19" s="5" t="s">
        <v>87</v>
      </c>
      <c r="I19" s="5" t="s">
        <v>87</v>
      </c>
      <c r="J19" s="5" t="s">
        <v>87</v>
      </c>
      <c r="K19" s="5" t="s">
        <v>87</v>
      </c>
      <c r="L19" s="5" t="s">
        <v>87</v>
      </c>
      <c r="M19" s="6" t="s">
        <v>87</v>
      </c>
      <c r="N19" s="5" t="s">
        <v>87</v>
      </c>
      <c r="O19" s="5" t="s">
        <v>87</v>
      </c>
    </row>
    <row r="20" ht="70" customHeight="1" spans="1:15">
      <c r="A20" s="5" t="s">
        <v>87</v>
      </c>
      <c r="B20" s="5" t="s">
        <v>87</v>
      </c>
      <c r="C20" s="5" t="s">
        <v>87</v>
      </c>
      <c r="D20" s="5" t="s">
        <v>87</v>
      </c>
      <c r="E20" s="5" t="s">
        <v>87</v>
      </c>
      <c r="F20" s="5" t="s">
        <v>87</v>
      </c>
      <c r="G20" s="5" t="s">
        <v>87</v>
      </c>
      <c r="H20" s="5" t="s">
        <v>87</v>
      </c>
      <c r="I20" s="5" t="s">
        <v>87</v>
      </c>
      <c r="J20" s="5" t="s">
        <v>87</v>
      </c>
      <c r="K20" s="5" t="s">
        <v>87</v>
      </c>
      <c r="L20" s="5" t="s">
        <v>87</v>
      </c>
      <c r="M20" s="6" t="s">
        <v>87</v>
      </c>
      <c r="N20" s="5" t="s">
        <v>87</v>
      </c>
      <c r="O20" s="5" t="s">
        <v>87</v>
      </c>
    </row>
    <row r="21" ht="70" customHeight="1" spans="1:15">
      <c r="A21" s="5" t="s">
        <v>87</v>
      </c>
      <c r="B21" s="5" t="s">
        <v>87</v>
      </c>
      <c r="C21" s="5" t="s">
        <v>87</v>
      </c>
      <c r="D21" s="5" t="s">
        <v>87</v>
      </c>
      <c r="E21" s="5" t="s">
        <v>87</v>
      </c>
      <c r="F21" s="5" t="s">
        <v>87</v>
      </c>
      <c r="G21" s="5" t="s">
        <v>87</v>
      </c>
      <c r="H21" s="5" t="s">
        <v>87</v>
      </c>
      <c r="I21" s="5" t="s">
        <v>87</v>
      </c>
      <c r="J21" s="5" t="s">
        <v>87</v>
      </c>
      <c r="K21" s="5" t="s">
        <v>87</v>
      </c>
      <c r="L21" s="5" t="s">
        <v>87</v>
      </c>
      <c r="M21" s="6" t="s">
        <v>87</v>
      </c>
      <c r="N21" s="5" t="s">
        <v>87</v>
      </c>
      <c r="O21" s="5" t="s">
        <v>87</v>
      </c>
    </row>
    <row r="22" ht="70" customHeight="1" spans="1:15">
      <c r="A22" s="5" t="s">
        <v>87</v>
      </c>
      <c r="B22" s="5" t="s">
        <v>87</v>
      </c>
      <c r="C22" s="5" t="s">
        <v>87</v>
      </c>
      <c r="D22" s="5" t="s">
        <v>87</v>
      </c>
      <c r="E22" s="5" t="s">
        <v>87</v>
      </c>
      <c r="F22" s="5" t="s">
        <v>87</v>
      </c>
      <c r="G22" s="5" t="s">
        <v>87</v>
      </c>
      <c r="H22" s="5" t="s">
        <v>87</v>
      </c>
      <c r="I22" s="5" t="s">
        <v>87</v>
      </c>
      <c r="J22" s="5" t="s">
        <v>87</v>
      </c>
      <c r="K22" s="5" t="s">
        <v>87</v>
      </c>
      <c r="L22" s="5" t="s">
        <v>87</v>
      </c>
      <c r="M22" s="6" t="s">
        <v>87</v>
      </c>
      <c r="N22" s="5" t="s">
        <v>87</v>
      </c>
      <c r="O22" s="5" t="s">
        <v>87</v>
      </c>
    </row>
    <row r="23" ht="70" customHeight="1" spans="1:15">
      <c r="A23" s="5" t="s">
        <v>87</v>
      </c>
      <c r="B23" s="5" t="s">
        <v>87</v>
      </c>
      <c r="C23" s="5" t="s">
        <v>87</v>
      </c>
      <c r="D23" s="5" t="s">
        <v>87</v>
      </c>
      <c r="E23" s="5" t="s">
        <v>87</v>
      </c>
      <c r="F23" s="5" t="s">
        <v>87</v>
      </c>
      <c r="G23" s="5" t="s">
        <v>87</v>
      </c>
      <c r="H23" s="5" t="s">
        <v>87</v>
      </c>
      <c r="I23" s="5" t="s">
        <v>87</v>
      </c>
      <c r="J23" s="5" t="s">
        <v>87</v>
      </c>
      <c r="K23" s="5" t="s">
        <v>87</v>
      </c>
      <c r="L23" s="5" t="s">
        <v>87</v>
      </c>
      <c r="M23" s="6" t="s">
        <v>87</v>
      </c>
      <c r="N23" s="5" t="s">
        <v>87</v>
      </c>
      <c r="O23" s="5" t="s">
        <v>87</v>
      </c>
    </row>
    <row r="24" ht="70" customHeight="1" spans="1:15">
      <c r="A24" s="5" t="s">
        <v>87</v>
      </c>
      <c r="B24" s="5" t="s">
        <v>87</v>
      </c>
      <c r="C24" s="5" t="s">
        <v>87</v>
      </c>
      <c r="D24" s="5" t="s">
        <v>87</v>
      </c>
      <c r="E24" s="5" t="s">
        <v>87</v>
      </c>
      <c r="F24" s="5" t="s">
        <v>87</v>
      </c>
      <c r="G24" s="5" t="s">
        <v>87</v>
      </c>
      <c r="H24" s="5" t="s">
        <v>87</v>
      </c>
      <c r="I24" s="5" t="s">
        <v>87</v>
      </c>
      <c r="J24" s="5" t="s">
        <v>87</v>
      </c>
      <c r="K24" s="5" t="s">
        <v>87</v>
      </c>
      <c r="L24" s="5" t="s">
        <v>87</v>
      </c>
      <c r="M24" s="6" t="s">
        <v>87</v>
      </c>
      <c r="N24" s="5" t="s">
        <v>87</v>
      </c>
      <c r="O24" s="5" t="s">
        <v>87</v>
      </c>
    </row>
    <row r="25" ht="70" customHeight="1" spans="1:15">
      <c r="A25" s="5" t="s">
        <v>87</v>
      </c>
      <c r="B25" s="5" t="s">
        <v>87</v>
      </c>
      <c r="C25" s="5" t="s">
        <v>87</v>
      </c>
      <c r="D25" s="5" t="s">
        <v>87</v>
      </c>
      <c r="E25" s="5" t="s">
        <v>87</v>
      </c>
      <c r="F25" s="5" t="s">
        <v>87</v>
      </c>
      <c r="G25" s="5" t="s">
        <v>87</v>
      </c>
      <c r="H25" s="5" t="s">
        <v>87</v>
      </c>
      <c r="I25" s="5" t="s">
        <v>87</v>
      </c>
      <c r="J25" s="5" t="s">
        <v>87</v>
      </c>
      <c r="K25" s="5" t="s">
        <v>87</v>
      </c>
      <c r="L25" s="5" t="s">
        <v>87</v>
      </c>
      <c r="M25" s="6" t="s">
        <v>87</v>
      </c>
      <c r="N25" s="5" t="s">
        <v>87</v>
      </c>
      <c r="O25" s="5" t="s">
        <v>87</v>
      </c>
    </row>
  </sheetData>
  <dataValidations count="2">
    <dataValidation type="list" sqref="D6:D25">
      <formula1>"Nghiêm trọng,Lớn,Vừa,Nhỏ"</formula1>
    </dataValidation>
    <dataValidation type="list" sqref="K6:K25">
      <formula1>"Mới,Đã xác nhận,Đang sửa,Chờ kiểm thử lại,Đóng,Mở lại"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3.8"/>
  <cols>
    <col min="1" max="1" width="16" customWidth="1"/>
    <col min="2" max="2" width="19" customWidth="1"/>
    <col min="3" max="3" width="25" customWidth="1"/>
    <col min="4" max="4" width="20" customWidth="1"/>
    <col min="5" max="5" width="22" customWidth="1"/>
    <col min="6" max="6" width="40" customWidth="1"/>
    <col min="7" max="7" width="16" customWidth="1"/>
    <col min="8" max="8" width="60" customWidth="1"/>
    <col min="9" max="9" width="34" customWidth="1"/>
    <col min="10" max="10" width="20" customWidth="1"/>
    <col min="11" max="11" width="4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>
      <c r="A2" s="2" t="s">
        <v>720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3" t="s">
        <v>721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34" customHeight="1" spans="1:11">
      <c r="A5" s="4" t="s">
        <v>722</v>
      </c>
      <c r="B5" s="4" t="s">
        <v>63</v>
      </c>
      <c r="C5" s="4" t="s">
        <v>723</v>
      </c>
      <c r="D5" s="4" t="s">
        <v>724</v>
      </c>
      <c r="E5" s="4" t="s">
        <v>75</v>
      </c>
      <c r="F5" s="4" t="s">
        <v>725</v>
      </c>
      <c r="G5" s="4" t="s">
        <v>72</v>
      </c>
      <c r="H5" s="4" t="s">
        <v>73</v>
      </c>
      <c r="I5" s="4" t="s">
        <v>76</v>
      </c>
      <c r="J5" s="4" t="s">
        <v>77</v>
      </c>
      <c r="K5" s="4" t="s">
        <v>719</v>
      </c>
    </row>
    <row r="6" ht="70" customHeight="1" spans="1:11">
      <c r="A6" s="5" t="s">
        <v>87</v>
      </c>
      <c r="B6" s="5" t="s">
        <v>87</v>
      </c>
      <c r="C6" s="5" t="s">
        <v>87</v>
      </c>
      <c r="D6" s="6" t="s">
        <v>87</v>
      </c>
      <c r="E6" s="5" t="s">
        <v>87</v>
      </c>
      <c r="F6" s="5" t="s">
        <v>87</v>
      </c>
      <c r="G6" s="5" t="s">
        <v>87</v>
      </c>
      <c r="H6" s="5" t="s">
        <v>87</v>
      </c>
      <c r="I6" s="5" t="s">
        <v>87</v>
      </c>
      <c r="J6" s="5" t="s">
        <v>87</v>
      </c>
      <c r="K6" s="5" t="s">
        <v>87</v>
      </c>
    </row>
    <row r="7" ht="70" customHeight="1" spans="1:11">
      <c r="A7" s="5" t="s">
        <v>87</v>
      </c>
      <c r="B7" s="5" t="s">
        <v>87</v>
      </c>
      <c r="C7" s="5" t="s">
        <v>87</v>
      </c>
      <c r="D7" s="6" t="s">
        <v>87</v>
      </c>
      <c r="E7" s="5" t="s">
        <v>87</v>
      </c>
      <c r="F7" s="5" t="s">
        <v>87</v>
      </c>
      <c r="G7" s="5" t="s">
        <v>87</v>
      </c>
      <c r="H7" s="5" t="s">
        <v>87</v>
      </c>
      <c r="I7" s="5" t="s">
        <v>87</v>
      </c>
      <c r="J7" s="5" t="s">
        <v>87</v>
      </c>
      <c r="K7" s="5" t="s">
        <v>87</v>
      </c>
    </row>
    <row r="8" ht="70" customHeight="1" spans="1:11">
      <c r="A8" s="5" t="s">
        <v>87</v>
      </c>
      <c r="B8" s="5" t="s">
        <v>87</v>
      </c>
      <c r="C8" s="5" t="s">
        <v>87</v>
      </c>
      <c r="D8" s="6" t="s">
        <v>87</v>
      </c>
      <c r="E8" s="5" t="s">
        <v>87</v>
      </c>
      <c r="F8" s="5" t="s">
        <v>87</v>
      </c>
      <c r="G8" s="5" t="s">
        <v>87</v>
      </c>
      <c r="H8" s="5" t="s">
        <v>87</v>
      </c>
      <c r="I8" s="5" t="s">
        <v>87</v>
      </c>
      <c r="J8" s="5" t="s">
        <v>87</v>
      </c>
      <c r="K8" s="5" t="s">
        <v>87</v>
      </c>
    </row>
    <row r="9" ht="70" customHeight="1" spans="1:11">
      <c r="A9" s="5" t="s">
        <v>87</v>
      </c>
      <c r="B9" s="5" t="s">
        <v>87</v>
      </c>
      <c r="C9" s="5" t="s">
        <v>87</v>
      </c>
      <c r="D9" s="6" t="s">
        <v>87</v>
      </c>
      <c r="E9" s="5" t="s">
        <v>87</v>
      </c>
      <c r="F9" s="5" t="s">
        <v>87</v>
      </c>
      <c r="G9" s="5" t="s">
        <v>87</v>
      </c>
      <c r="H9" s="5" t="s">
        <v>87</v>
      </c>
      <c r="I9" s="5" t="s">
        <v>87</v>
      </c>
      <c r="J9" s="5" t="s">
        <v>87</v>
      </c>
      <c r="K9" s="5" t="s">
        <v>87</v>
      </c>
    </row>
    <row r="10" ht="70" customHeight="1" spans="1:11">
      <c r="A10" s="5" t="s">
        <v>87</v>
      </c>
      <c r="B10" s="5" t="s">
        <v>87</v>
      </c>
      <c r="C10" s="5" t="s">
        <v>87</v>
      </c>
      <c r="D10" s="6" t="s">
        <v>87</v>
      </c>
      <c r="E10" s="5" t="s">
        <v>87</v>
      </c>
      <c r="F10" s="5" t="s">
        <v>87</v>
      </c>
      <c r="G10" s="5" t="s">
        <v>87</v>
      </c>
      <c r="H10" s="5" t="s">
        <v>87</v>
      </c>
      <c r="I10" s="5" t="s">
        <v>87</v>
      </c>
      <c r="J10" s="5" t="s">
        <v>87</v>
      </c>
      <c r="K10" s="5" t="s">
        <v>87</v>
      </c>
    </row>
    <row r="11" ht="70" customHeight="1" spans="1:11">
      <c r="A11" s="5" t="s">
        <v>87</v>
      </c>
      <c r="B11" s="5" t="s">
        <v>87</v>
      </c>
      <c r="C11" s="5" t="s">
        <v>87</v>
      </c>
      <c r="D11" s="6" t="s">
        <v>87</v>
      </c>
      <c r="E11" s="5" t="s">
        <v>87</v>
      </c>
      <c r="F11" s="5" t="s">
        <v>87</v>
      </c>
      <c r="G11" s="5" t="s">
        <v>87</v>
      </c>
      <c r="H11" s="5" t="s">
        <v>87</v>
      </c>
      <c r="I11" s="5" t="s">
        <v>87</v>
      </c>
      <c r="J11" s="5" t="s">
        <v>87</v>
      </c>
      <c r="K11" s="5" t="s">
        <v>87</v>
      </c>
    </row>
    <row r="12" ht="70" customHeight="1" spans="1:11">
      <c r="A12" s="5" t="s">
        <v>87</v>
      </c>
      <c r="B12" s="5" t="s">
        <v>87</v>
      </c>
      <c r="C12" s="5" t="s">
        <v>87</v>
      </c>
      <c r="D12" s="6" t="s">
        <v>87</v>
      </c>
      <c r="E12" s="5" t="s">
        <v>87</v>
      </c>
      <c r="F12" s="5" t="s">
        <v>87</v>
      </c>
      <c r="G12" s="5" t="s">
        <v>87</v>
      </c>
      <c r="H12" s="5" t="s">
        <v>87</v>
      </c>
      <c r="I12" s="5" t="s">
        <v>87</v>
      </c>
      <c r="J12" s="5" t="s">
        <v>87</v>
      </c>
      <c r="K12" s="5" t="s">
        <v>87</v>
      </c>
    </row>
    <row r="13" ht="70" customHeight="1" spans="1:11">
      <c r="A13" s="5" t="s">
        <v>87</v>
      </c>
      <c r="B13" s="5" t="s">
        <v>87</v>
      </c>
      <c r="C13" s="5" t="s">
        <v>87</v>
      </c>
      <c r="D13" s="6" t="s">
        <v>87</v>
      </c>
      <c r="E13" s="5" t="s">
        <v>87</v>
      </c>
      <c r="F13" s="5" t="s">
        <v>87</v>
      </c>
      <c r="G13" s="5" t="s">
        <v>87</v>
      </c>
      <c r="H13" s="5" t="s">
        <v>87</v>
      </c>
      <c r="I13" s="5" t="s">
        <v>87</v>
      </c>
      <c r="J13" s="5" t="s">
        <v>87</v>
      </c>
      <c r="K13" s="5" t="s">
        <v>87</v>
      </c>
    </row>
    <row r="14" ht="70" customHeight="1" spans="1:11">
      <c r="A14" s="5" t="s">
        <v>87</v>
      </c>
      <c r="B14" s="5" t="s">
        <v>87</v>
      </c>
      <c r="C14" s="5" t="s">
        <v>87</v>
      </c>
      <c r="D14" s="6" t="s">
        <v>87</v>
      </c>
      <c r="E14" s="5" t="s">
        <v>87</v>
      </c>
      <c r="F14" s="5" t="s">
        <v>87</v>
      </c>
      <c r="G14" s="5" t="s">
        <v>87</v>
      </c>
      <c r="H14" s="5" t="s">
        <v>87</v>
      </c>
      <c r="I14" s="5" t="s">
        <v>87</v>
      </c>
      <c r="J14" s="5" t="s">
        <v>87</v>
      </c>
      <c r="K14" s="5" t="s">
        <v>87</v>
      </c>
    </row>
    <row r="15" ht="70" customHeight="1" spans="1:11">
      <c r="A15" s="5" t="s">
        <v>87</v>
      </c>
      <c r="B15" s="5" t="s">
        <v>87</v>
      </c>
      <c r="C15" s="5" t="s">
        <v>87</v>
      </c>
      <c r="D15" s="6" t="s">
        <v>87</v>
      </c>
      <c r="E15" s="5" t="s">
        <v>87</v>
      </c>
      <c r="F15" s="5" t="s">
        <v>87</v>
      </c>
      <c r="G15" s="5" t="s">
        <v>87</v>
      </c>
      <c r="H15" s="5" t="s">
        <v>87</v>
      </c>
      <c r="I15" s="5" t="s">
        <v>87</v>
      </c>
      <c r="J15" s="5" t="s">
        <v>87</v>
      </c>
      <c r="K15" s="5" t="s">
        <v>87</v>
      </c>
    </row>
    <row r="16" ht="70" customHeight="1" spans="1:11">
      <c r="A16" s="5" t="s">
        <v>87</v>
      </c>
      <c r="B16" s="5" t="s">
        <v>87</v>
      </c>
      <c r="C16" s="5" t="s">
        <v>87</v>
      </c>
      <c r="D16" s="6" t="s">
        <v>87</v>
      </c>
      <c r="E16" s="5" t="s">
        <v>87</v>
      </c>
      <c r="F16" s="5" t="s">
        <v>87</v>
      </c>
      <c r="G16" s="5" t="s">
        <v>87</v>
      </c>
      <c r="H16" s="5" t="s">
        <v>87</v>
      </c>
      <c r="I16" s="5" t="s">
        <v>87</v>
      </c>
      <c r="J16" s="5" t="s">
        <v>87</v>
      </c>
      <c r="K16" s="5" t="s">
        <v>87</v>
      </c>
    </row>
    <row r="17" ht="70" customHeight="1" spans="1:11">
      <c r="A17" s="5" t="s">
        <v>87</v>
      </c>
      <c r="B17" s="5" t="s">
        <v>87</v>
      </c>
      <c r="C17" s="5" t="s">
        <v>87</v>
      </c>
      <c r="D17" s="6" t="s">
        <v>87</v>
      </c>
      <c r="E17" s="5" t="s">
        <v>87</v>
      </c>
      <c r="F17" s="5" t="s">
        <v>87</v>
      </c>
      <c r="G17" s="5" t="s">
        <v>87</v>
      </c>
      <c r="H17" s="5" t="s">
        <v>87</v>
      </c>
      <c r="I17" s="5" t="s">
        <v>87</v>
      </c>
      <c r="J17" s="5" t="s">
        <v>87</v>
      </c>
      <c r="K17" s="5" t="s">
        <v>87</v>
      </c>
    </row>
    <row r="18" ht="70" customHeight="1" spans="1:11">
      <c r="A18" s="5" t="s">
        <v>87</v>
      </c>
      <c r="B18" s="5" t="s">
        <v>87</v>
      </c>
      <c r="C18" s="5" t="s">
        <v>87</v>
      </c>
      <c r="D18" s="6" t="s">
        <v>87</v>
      </c>
      <c r="E18" s="5" t="s">
        <v>87</v>
      </c>
      <c r="F18" s="5" t="s">
        <v>87</v>
      </c>
      <c r="G18" s="5" t="s">
        <v>87</v>
      </c>
      <c r="H18" s="5" t="s">
        <v>87</v>
      </c>
      <c r="I18" s="5" t="s">
        <v>87</v>
      </c>
      <c r="J18" s="5" t="s">
        <v>87</v>
      </c>
      <c r="K18" s="5" t="s">
        <v>87</v>
      </c>
    </row>
    <row r="19" ht="70" customHeight="1" spans="1:11">
      <c r="A19" s="5" t="s">
        <v>87</v>
      </c>
      <c r="B19" s="5" t="s">
        <v>87</v>
      </c>
      <c r="C19" s="5" t="s">
        <v>87</v>
      </c>
      <c r="D19" s="6" t="s">
        <v>87</v>
      </c>
      <c r="E19" s="5" t="s">
        <v>87</v>
      </c>
      <c r="F19" s="5" t="s">
        <v>87</v>
      </c>
      <c r="G19" s="5" t="s">
        <v>87</v>
      </c>
      <c r="H19" s="5" t="s">
        <v>87</v>
      </c>
      <c r="I19" s="5" t="s">
        <v>87</v>
      </c>
      <c r="J19" s="5" t="s">
        <v>87</v>
      </c>
      <c r="K19" s="5" t="s">
        <v>87</v>
      </c>
    </row>
    <row r="20" ht="70" customHeight="1" spans="1:11">
      <c r="A20" s="5" t="s">
        <v>87</v>
      </c>
      <c r="B20" s="5" t="s">
        <v>87</v>
      </c>
      <c r="C20" s="5" t="s">
        <v>87</v>
      </c>
      <c r="D20" s="6" t="s">
        <v>87</v>
      </c>
      <c r="E20" s="5" t="s">
        <v>87</v>
      </c>
      <c r="F20" s="5" t="s">
        <v>87</v>
      </c>
      <c r="G20" s="5" t="s">
        <v>87</v>
      </c>
      <c r="H20" s="5" t="s">
        <v>87</v>
      </c>
      <c r="I20" s="5" t="s">
        <v>87</v>
      </c>
      <c r="J20" s="5" t="s">
        <v>87</v>
      </c>
      <c r="K20" s="5" t="s">
        <v>87</v>
      </c>
    </row>
    <row r="21" ht="70" customHeight="1" spans="1:11">
      <c r="A21" s="5" t="s">
        <v>87</v>
      </c>
      <c r="B21" s="5" t="s">
        <v>87</v>
      </c>
      <c r="C21" s="5" t="s">
        <v>87</v>
      </c>
      <c r="D21" s="6" t="s">
        <v>87</v>
      </c>
      <c r="E21" s="5" t="s">
        <v>87</v>
      </c>
      <c r="F21" s="5" t="s">
        <v>87</v>
      </c>
      <c r="G21" s="5" t="s">
        <v>87</v>
      </c>
      <c r="H21" s="5" t="s">
        <v>87</v>
      </c>
      <c r="I21" s="5" t="s">
        <v>87</v>
      </c>
      <c r="J21" s="5" t="s">
        <v>87</v>
      </c>
      <c r="K21" s="5" t="s">
        <v>87</v>
      </c>
    </row>
    <row r="22" ht="70" customHeight="1" spans="1:11">
      <c r="A22" s="5" t="s">
        <v>87</v>
      </c>
      <c r="B22" s="5" t="s">
        <v>87</v>
      </c>
      <c r="C22" s="5" t="s">
        <v>87</v>
      </c>
      <c r="D22" s="6" t="s">
        <v>87</v>
      </c>
      <c r="E22" s="5" t="s">
        <v>87</v>
      </c>
      <c r="F22" s="5" t="s">
        <v>87</v>
      </c>
      <c r="G22" s="5" t="s">
        <v>87</v>
      </c>
      <c r="H22" s="5" t="s">
        <v>87</v>
      </c>
      <c r="I22" s="5" t="s">
        <v>87</v>
      </c>
      <c r="J22" s="5" t="s">
        <v>87</v>
      </c>
      <c r="K22" s="5" t="s">
        <v>87</v>
      </c>
    </row>
    <row r="23" ht="70" customHeight="1" spans="1:11">
      <c r="A23" s="5" t="s">
        <v>87</v>
      </c>
      <c r="B23" s="5" t="s">
        <v>87</v>
      </c>
      <c r="C23" s="5" t="s">
        <v>87</v>
      </c>
      <c r="D23" s="6" t="s">
        <v>87</v>
      </c>
      <c r="E23" s="5" t="s">
        <v>87</v>
      </c>
      <c r="F23" s="5" t="s">
        <v>87</v>
      </c>
      <c r="G23" s="5" t="s">
        <v>87</v>
      </c>
      <c r="H23" s="5" t="s">
        <v>87</v>
      </c>
      <c r="I23" s="5" t="s">
        <v>87</v>
      </c>
      <c r="J23" s="5" t="s">
        <v>87</v>
      </c>
      <c r="K23" s="5" t="s">
        <v>87</v>
      </c>
    </row>
    <row r="24" ht="70" customHeight="1" spans="1:11">
      <c r="A24" s="5" t="s">
        <v>87</v>
      </c>
      <c r="B24" s="5" t="s">
        <v>87</v>
      </c>
      <c r="C24" s="5" t="s">
        <v>87</v>
      </c>
      <c r="D24" s="6" t="s">
        <v>87</v>
      </c>
      <c r="E24" s="5" t="s">
        <v>87</v>
      </c>
      <c r="F24" s="5" t="s">
        <v>87</v>
      </c>
      <c r="G24" s="5" t="s">
        <v>87</v>
      </c>
      <c r="H24" s="5" t="s">
        <v>87</v>
      </c>
      <c r="I24" s="5" t="s">
        <v>87</v>
      </c>
      <c r="J24" s="5" t="s">
        <v>87</v>
      </c>
      <c r="K24" s="5" t="s">
        <v>87</v>
      </c>
    </row>
    <row r="25" ht="70" customHeight="1" spans="1:11">
      <c r="A25" s="5" t="s">
        <v>87</v>
      </c>
      <c r="B25" s="5" t="s">
        <v>87</v>
      </c>
      <c r="C25" s="5" t="s">
        <v>87</v>
      </c>
      <c r="D25" s="6" t="s">
        <v>87</v>
      </c>
      <c r="E25" s="5" t="s">
        <v>87</v>
      </c>
      <c r="F25" s="5" t="s">
        <v>87</v>
      </c>
      <c r="G25" s="5" t="s">
        <v>87</v>
      </c>
      <c r="H25" s="5" t="s">
        <v>87</v>
      </c>
      <c r="I25" s="5" t="s">
        <v>87</v>
      </c>
      <c r="J25" s="5" t="s">
        <v>87</v>
      </c>
      <c r="K25" s="5" t="s">
        <v>87</v>
      </c>
    </row>
    <row r="26" ht="70" customHeight="1" spans="1:11">
      <c r="A26" s="5" t="s">
        <v>87</v>
      </c>
      <c r="B26" s="5" t="s">
        <v>87</v>
      </c>
      <c r="C26" s="5" t="s">
        <v>87</v>
      </c>
      <c r="D26" s="6" t="s">
        <v>87</v>
      </c>
      <c r="E26" s="5" t="s">
        <v>87</v>
      </c>
      <c r="F26" s="5" t="s">
        <v>87</v>
      </c>
      <c r="G26" s="5" t="s">
        <v>87</v>
      </c>
      <c r="H26" s="5" t="s">
        <v>87</v>
      </c>
      <c r="I26" s="5" t="s">
        <v>87</v>
      </c>
      <c r="J26" s="5" t="s">
        <v>87</v>
      </c>
      <c r="K26" s="5" t="s">
        <v>87</v>
      </c>
    </row>
    <row r="27" ht="70" customHeight="1" spans="1:11">
      <c r="A27" s="5" t="s">
        <v>87</v>
      </c>
      <c r="B27" s="5" t="s">
        <v>87</v>
      </c>
      <c r="C27" s="5" t="s">
        <v>87</v>
      </c>
      <c r="D27" s="6" t="s">
        <v>87</v>
      </c>
      <c r="E27" s="5" t="s">
        <v>87</v>
      </c>
      <c r="F27" s="5" t="s">
        <v>87</v>
      </c>
      <c r="G27" s="5" t="s">
        <v>87</v>
      </c>
      <c r="H27" s="5" t="s">
        <v>87</v>
      </c>
      <c r="I27" s="5" t="s">
        <v>87</v>
      </c>
      <c r="J27" s="5" t="s">
        <v>87</v>
      </c>
      <c r="K27" s="5" t="s">
        <v>87</v>
      </c>
    </row>
    <row r="28" ht="70" customHeight="1" spans="1:11">
      <c r="A28" s="5" t="s">
        <v>87</v>
      </c>
      <c r="B28" s="5" t="s">
        <v>87</v>
      </c>
      <c r="C28" s="5" t="s">
        <v>87</v>
      </c>
      <c r="D28" s="6" t="s">
        <v>87</v>
      </c>
      <c r="E28" s="5" t="s">
        <v>87</v>
      </c>
      <c r="F28" s="5" t="s">
        <v>87</v>
      </c>
      <c r="G28" s="5" t="s">
        <v>87</v>
      </c>
      <c r="H28" s="5" t="s">
        <v>87</v>
      </c>
      <c r="I28" s="5" t="s">
        <v>87</v>
      </c>
      <c r="J28" s="5" t="s">
        <v>87</v>
      </c>
      <c r="K28" s="5" t="s">
        <v>87</v>
      </c>
    </row>
    <row r="29" ht="70" customHeight="1" spans="1:11">
      <c r="A29" s="5" t="s">
        <v>87</v>
      </c>
      <c r="B29" s="5" t="s">
        <v>87</v>
      </c>
      <c r="C29" s="5" t="s">
        <v>87</v>
      </c>
      <c r="D29" s="6" t="s">
        <v>87</v>
      </c>
      <c r="E29" s="5" t="s">
        <v>87</v>
      </c>
      <c r="F29" s="5" t="s">
        <v>87</v>
      </c>
      <c r="G29" s="5" t="s">
        <v>87</v>
      </c>
      <c r="H29" s="5" t="s">
        <v>87</v>
      </c>
      <c r="I29" s="5" t="s">
        <v>87</v>
      </c>
      <c r="J29" s="5" t="s">
        <v>87</v>
      </c>
      <c r="K29" s="5" t="s">
        <v>87</v>
      </c>
    </row>
    <row r="30" ht="70" customHeight="1" spans="1:11">
      <c r="A30" s="5" t="s">
        <v>87</v>
      </c>
      <c r="B30" s="5" t="s">
        <v>87</v>
      </c>
      <c r="C30" s="5" t="s">
        <v>87</v>
      </c>
      <c r="D30" s="6" t="s">
        <v>87</v>
      </c>
      <c r="E30" s="5" t="s">
        <v>87</v>
      </c>
      <c r="F30" s="5" t="s">
        <v>87</v>
      </c>
      <c r="G30" s="5" t="s">
        <v>87</v>
      </c>
      <c r="H30" s="5" t="s">
        <v>87</v>
      </c>
      <c r="I30" s="5" t="s">
        <v>87</v>
      </c>
      <c r="J30" s="5" t="s">
        <v>87</v>
      </c>
      <c r="K30" s="5" t="s">
        <v>87</v>
      </c>
    </row>
  </sheetData>
  <dataValidations count="1">
    <dataValidation type="list" sqref="G6:G30">
      <formula1>"Not Run,Pass,Fail,Blocked,N/A"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Tong quan</vt:lpstr>
      <vt:lpstr>Test cases</vt:lpstr>
      <vt:lpstr>Du lieu</vt:lpstr>
      <vt:lpstr>Loi</vt:lpstr>
      <vt:lpstr>Nhat ky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Đoàn Tuấn Anh</cp:lastModifiedBy>
  <dcterms:created xsi:type="dcterms:W3CDTF">2026-10-04T01:13:43Z</dcterms:created>
  <dcterms:modified xsi:type="dcterms:W3CDTF">2026-10-04T01:16:01Z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56B368EC1FFE4F32B2A7198E4CE363EB_13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